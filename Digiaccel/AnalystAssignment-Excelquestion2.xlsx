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"/>
    </mc:Choice>
  </mc:AlternateContent>
  <xr:revisionPtr revIDLastSave="0" documentId="8_{9F5894CE-6F55-488E-BE74-CFC211E99149}" xr6:coauthVersionLast="47" xr6:coauthVersionMax="47" xr10:uidLastSave="{00000000-0000-0000-0000-000000000000}"/>
  <bookViews>
    <workbookView xWindow="-108" yWindow="-108" windowWidth="23256" windowHeight="12456" xr2:uid="{4298D39E-CD3E-4450-A645-6AC8AB28DDE2}"/>
  </bookViews>
  <sheets>
    <sheet name="Sheet2" sheetId="2" r:id="rId1"/>
    <sheet name="Sheet1" sheetId="1" r:id="rId2"/>
  </sheets>
  <definedNames>
    <definedName name="_xlnm._FilterDatabase" localSheetId="1" hidden="1">Sheet1!$A$1:$I$92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H18" i="2"/>
  <c r="H19" i="2"/>
  <c r="H20" i="2"/>
  <c r="H17" i="2"/>
  <c r="H5" i="2"/>
  <c r="H6" i="2"/>
  <c r="H7" i="2"/>
  <c r="H8" i="2"/>
  <c r="H9" i="2"/>
  <c r="H10" i="2"/>
  <c r="H11" i="2"/>
  <c r="H4" i="2"/>
  <c r="I93" i="1"/>
</calcChain>
</file>

<file path=xl/sharedStrings.xml><?xml version="1.0" encoding="utf-8"?>
<sst xmlns="http://schemas.openxmlformats.org/spreadsheetml/2006/main" count="328" uniqueCount="36">
  <si>
    <t>Month</t>
  </si>
  <si>
    <t>Brand</t>
  </si>
  <si>
    <t>Impressions</t>
  </si>
  <si>
    <t>Clicks</t>
  </si>
  <si>
    <t>Spends</t>
  </si>
  <si>
    <t>Orders</t>
  </si>
  <si>
    <t>Jan</t>
  </si>
  <si>
    <t>Feb</t>
  </si>
  <si>
    <t>Mar</t>
  </si>
  <si>
    <t>Apr</t>
  </si>
  <si>
    <t>May</t>
  </si>
  <si>
    <t>Jun</t>
  </si>
  <si>
    <t>Media Sales</t>
  </si>
  <si>
    <t>Total Sales</t>
  </si>
  <si>
    <t>Brite</t>
  </si>
  <si>
    <t>Thums Down</t>
  </si>
  <si>
    <t>Category</t>
  </si>
  <si>
    <t>Cold Drink</t>
  </si>
  <si>
    <t>Juice</t>
  </si>
  <si>
    <t>No Real</t>
  </si>
  <si>
    <t>Propicana</t>
  </si>
  <si>
    <t>Oil</t>
  </si>
  <si>
    <t>Portune</t>
  </si>
  <si>
    <t>Bel Monte</t>
  </si>
  <si>
    <t>Milk</t>
  </si>
  <si>
    <t>Vamul</t>
  </si>
  <si>
    <t>Father's Farm</t>
  </si>
  <si>
    <t>Total</t>
  </si>
  <si>
    <t>Row Labels</t>
  </si>
  <si>
    <t>Grand Total</t>
  </si>
  <si>
    <t>Sum of Total Sales</t>
  </si>
  <si>
    <t>Sum of Clicks</t>
  </si>
  <si>
    <t>Sum of Impressions</t>
  </si>
  <si>
    <t>Sum of Orders</t>
  </si>
  <si>
    <t>&gt;1.5Cr</t>
  </si>
  <si>
    <t>Average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</si>
</sst>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2" xfId="0" applyBorder="1"/>
    <xf numFmtId="1" fontId="0" fillId="0" borderId="3" xfId="0" applyNumberFormat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1" fontId="1" fillId="2" borderId="5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1" fontId="0" fillId="0" borderId="5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25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Negi" refreshedDate="45675.991536574074" createdVersion="8" refreshedVersion="8" minRefreshableVersion="3" recordCount="91" xr:uid="{A1526FB3-3C71-4E04-B8BA-DEFE2FD8388A}">
  <cacheSource type="worksheet">
    <worksheetSource name="Table1"/>
  </cacheSource>
  <cacheFields count="10">
    <cacheField name="Month" numFmtId="0">
      <sharedItems count="6">
        <s v="Jan"/>
        <s v="Feb"/>
        <s v="Mar"/>
        <s v="Apr"/>
        <s v="May"/>
        <s v="Jun"/>
      </sharedItems>
    </cacheField>
    <cacheField name="Category" numFmtId="0">
      <sharedItems count="4">
        <s v="Cold Drink"/>
        <s v="Juice"/>
        <s v="Oil"/>
        <s v="Milk"/>
      </sharedItems>
    </cacheField>
    <cacheField name="Brand" numFmtId="0">
      <sharedItems count="8">
        <s v="Thums Down"/>
        <s v="Brite"/>
        <s v="No Real"/>
        <s v="Propicana"/>
        <s v="Portune"/>
        <s v="Bel Monte"/>
        <s v="Vamul"/>
        <s v="Father's Farm"/>
      </sharedItems>
    </cacheField>
    <cacheField name="Impressions" numFmtId="1">
      <sharedItems containsSemiMixedTypes="0" containsString="0" containsNumber="1" containsInteger="1" minValue="28237" maxValue="20777001"/>
    </cacheField>
    <cacheField name="Clicks" numFmtId="1">
      <sharedItems containsSemiMixedTypes="0" containsString="0" containsNumber="1" containsInteger="1" minValue="756" maxValue="479827"/>
    </cacheField>
    <cacheField name="Spends" numFmtId="1">
      <sharedItems containsSemiMixedTypes="0" containsString="0" containsNumber="1" minValue="5679.0599999999995" maxValue="2843872.56"/>
    </cacheField>
    <cacheField name="Orders" numFmtId="1">
      <sharedItems containsSemiMixedTypes="0" containsString="0" containsNumber="1" containsInteger="1" minValue="99" maxValue="43471"/>
    </cacheField>
    <cacheField name="Media Sales" numFmtId="1">
      <sharedItems containsSemiMixedTypes="0" containsString="0" containsNumber="1" containsInteger="1" minValue="23973" maxValue="8226588"/>
    </cacheField>
    <cacheField name="Total Sales" numFmtId="1">
      <sharedItems containsSemiMixedTypes="0" containsString="0" containsNumber="1" minValue="383568" maxValue="144863196.0942888"/>
    </cacheField>
    <cacheField name="&gt;1.5Cr" numFmtId="1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x v="0"/>
    <x v="0"/>
    <n v="2019018"/>
    <n v="40047"/>
    <n v="420033.6399999999"/>
    <n v="1004"/>
    <n v="253169"/>
    <n v="3397972.06430481"/>
    <x v="0"/>
  </r>
  <r>
    <x v="0"/>
    <x v="0"/>
    <x v="1"/>
    <n v="1546928"/>
    <n v="29935"/>
    <n v="371230.43999999994"/>
    <n v="5253"/>
    <n v="1537381"/>
    <n v="18448572"/>
    <x v="1"/>
  </r>
  <r>
    <x v="0"/>
    <x v="1"/>
    <x v="2"/>
    <n v="2051819"/>
    <n v="48955"/>
    <n v="599720.83000000007"/>
    <n v="6539"/>
    <n v="2261035"/>
    <n v="27132420"/>
    <x v="1"/>
  </r>
  <r>
    <x v="0"/>
    <x v="1"/>
    <x v="3"/>
    <n v="14508103"/>
    <n v="368096"/>
    <n v="2782579.2"/>
    <n v="43471"/>
    <n v="8226588"/>
    <n v="144863196.0942888"/>
    <x v="1"/>
  </r>
  <r>
    <x v="0"/>
    <x v="2"/>
    <x v="4"/>
    <n v="4674320"/>
    <n v="117364"/>
    <n v="999199.90000000014"/>
    <n v="11556"/>
    <n v="2254055"/>
    <n v="14945664.683118152"/>
    <x v="0"/>
  </r>
  <r>
    <x v="0"/>
    <x v="2"/>
    <x v="5"/>
    <n v="6635047"/>
    <n v="125356"/>
    <n v="1201081.8899999999"/>
    <n v="21141"/>
    <n v="5822389"/>
    <n v="93158224"/>
    <x v="1"/>
  </r>
  <r>
    <x v="0"/>
    <x v="3"/>
    <x v="6"/>
    <n v="2238967"/>
    <n v="52953"/>
    <n v="497958.62"/>
    <n v="4755"/>
    <n v="906034"/>
    <n v="14496544"/>
    <x v="0"/>
  </r>
  <r>
    <x v="0"/>
    <x v="3"/>
    <x v="7"/>
    <n v="5152346"/>
    <n v="156740"/>
    <n v="994312.22000000009"/>
    <n v="12897"/>
    <n v="3276671"/>
    <n v="16383355.000000002"/>
    <x v="1"/>
  </r>
  <r>
    <x v="1"/>
    <x v="0"/>
    <x v="1"/>
    <n v="483639"/>
    <n v="8653"/>
    <n v="128957.25000000001"/>
    <n v="2180"/>
    <n v="612466"/>
    <n v="6533921.0016549909"/>
    <x v="0"/>
  </r>
  <r>
    <x v="1"/>
    <x v="1"/>
    <x v="3"/>
    <n v="10227267"/>
    <n v="215344"/>
    <n v="1476896.4"/>
    <n v="10586"/>
    <n v="2212680"/>
    <n v="10322526.088041006"/>
    <x v="0"/>
  </r>
  <r>
    <x v="1"/>
    <x v="3"/>
    <x v="7"/>
    <n v="28237"/>
    <n v="756"/>
    <n v="5679.0599999999995"/>
    <n v="99"/>
    <n v="23973"/>
    <n v="383568"/>
    <x v="0"/>
  </r>
  <r>
    <x v="2"/>
    <x v="0"/>
    <x v="0"/>
    <n v="1122018"/>
    <n v="21109"/>
    <n v="296185"/>
    <n v="817"/>
    <n v="185460"/>
    <n v="2967360"/>
    <x v="0"/>
  </r>
  <r>
    <x v="2"/>
    <x v="2"/>
    <x v="5"/>
    <n v="2068344"/>
    <n v="41674"/>
    <n v="596257"/>
    <n v="5411"/>
    <n v="1306228"/>
    <n v="20899648"/>
    <x v="1"/>
  </r>
  <r>
    <x v="2"/>
    <x v="1"/>
    <x v="3"/>
    <n v="6573018"/>
    <n v="139711"/>
    <n v="1275418.2200000002"/>
    <n v="11715"/>
    <n v="2395097"/>
    <n v="33531358"/>
    <x v="1"/>
  </r>
  <r>
    <x v="2"/>
    <x v="2"/>
    <x v="4"/>
    <n v="1437103"/>
    <n v="35633"/>
    <n v="397005.6"/>
    <n v="5018"/>
    <n v="1043886"/>
    <n v="5970240.2035512412"/>
    <x v="0"/>
  </r>
  <r>
    <x v="2"/>
    <x v="3"/>
    <x v="6"/>
    <n v="1316567"/>
    <n v="26295"/>
    <n v="390788.53"/>
    <n v="2410"/>
    <n v="450610"/>
    <n v="6308540.0000000009"/>
    <x v="0"/>
  </r>
  <r>
    <x v="2"/>
    <x v="1"/>
    <x v="2"/>
    <n v="697845"/>
    <n v="12888"/>
    <n v="195826.74"/>
    <n v="1753"/>
    <n v="611801"/>
    <n v="6729811"/>
    <x v="0"/>
  </r>
  <r>
    <x v="2"/>
    <x v="3"/>
    <x v="7"/>
    <n v="6328100"/>
    <n v="104744"/>
    <n v="695742.39999999991"/>
    <n v="6829"/>
    <n v="1715752"/>
    <n v="8578760"/>
    <x v="0"/>
  </r>
  <r>
    <x v="3"/>
    <x v="0"/>
    <x v="0"/>
    <n v="2417507"/>
    <n v="58951"/>
    <n v="242892.96"/>
    <n v="2336"/>
    <n v="531949"/>
    <n v="8511184"/>
    <x v="0"/>
  </r>
  <r>
    <x v="3"/>
    <x v="0"/>
    <x v="0"/>
    <n v="1199120"/>
    <n v="26174"/>
    <n v="163525.01999999999"/>
    <n v="1220"/>
    <n v="284335"/>
    <n v="3980690"/>
    <x v="0"/>
  </r>
  <r>
    <x v="1"/>
    <x v="0"/>
    <x v="0"/>
    <n v="665137"/>
    <n v="12482"/>
    <n v="134920.38"/>
    <n v="620"/>
    <n v="144634"/>
    <n v="2169510"/>
    <x v="0"/>
  </r>
  <r>
    <x v="3"/>
    <x v="2"/>
    <x v="5"/>
    <n v="1540506"/>
    <n v="51399"/>
    <n v="329845.45"/>
    <n v="11430"/>
    <n v="2923558"/>
    <n v="55547602"/>
    <x v="1"/>
  </r>
  <r>
    <x v="3"/>
    <x v="2"/>
    <x v="5"/>
    <n v="2624857"/>
    <n v="68419"/>
    <n v="549932.18999999994"/>
    <n v="7968"/>
    <n v="2579210"/>
    <n v="38688150"/>
    <x v="1"/>
  </r>
  <r>
    <x v="1"/>
    <x v="2"/>
    <x v="5"/>
    <n v="1041339"/>
    <n v="19378"/>
    <n v="219947.2"/>
    <n v="2545"/>
    <n v="778005"/>
    <n v="14782095.000000002"/>
    <x v="0"/>
  </r>
  <r>
    <x v="2"/>
    <x v="0"/>
    <x v="1"/>
    <n v="127870"/>
    <n v="11791"/>
    <n v="89855.93"/>
    <n v="8144"/>
    <n v="1841168"/>
    <n v="29458688"/>
    <x v="1"/>
  </r>
  <r>
    <x v="3"/>
    <x v="0"/>
    <x v="1"/>
    <n v="507775"/>
    <n v="11023"/>
    <n v="138447.81"/>
    <n v="2563"/>
    <n v="595299"/>
    <n v="11149811.831623279"/>
    <x v="0"/>
  </r>
  <r>
    <x v="3"/>
    <x v="0"/>
    <x v="1"/>
    <n v="295625"/>
    <n v="6047"/>
    <n v="60006.64"/>
    <n v="1457"/>
    <n v="360126"/>
    <n v="6482268"/>
    <x v="0"/>
  </r>
  <r>
    <x v="3"/>
    <x v="1"/>
    <x v="3"/>
    <n v="6890582"/>
    <n v="203144"/>
    <n v="824141.97"/>
    <n v="18740"/>
    <n v="3753569"/>
    <n v="27701444.126938459"/>
    <x v="1"/>
  </r>
  <r>
    <x v="3"/>
    <x v="1"/>
    <x v="3"/>
    <n v="13833681"/>
    <n v="346634"/>
    <n v="2143802.94"/>
    <n v="32500"/>
    <n v="6530012"/>
    <n v="104480192"/>
    <x v="1"/>
  </r>
  <r>
    <x v="3"/>
    <x v="1"/>
    <x v="3"/>
    <n v="1937106"/>
    <n v="44914"/>
    <n v="327687.58999999997"/>
    <n v="4845"/>
    <n v="977802"/>
    <n v="7822416"/>
    <x v="0"/>
  </r>
  <r>
    <x v="3"/>
    <x v="2"/>
    <x v="4"/>
    <n v="807762"/>
    <n v="38285"/>
    <n v="149588.14000000001"/>
    <n v="5278"/>
    <n v="993471"/>
    <n v="5960825.9999999991"/>
    <x v="0"/>
  </r>
  <r>
    <x v="3"/>
    <x v="2"/>
    <x v="4"/>
    <n v="1165730"/>
    <n v="42695"/>
    <n v="249881.26"/>
    <n v="6118"/>
    <n v="1136842"/>
    <n v="18189472"/>
    <x v="1"/>
  </r>
  <r>
    <x v="3"/>
    <x v="2"/>
    <x v="4"/>
    <n v="396203"/>
    <n v="13044"/>
    <n v="99607.78"/>
    <n v="1829"/>
    <n v="344932"/>
    <n v="5518912"/>
    <x v="0"/>
  </r>
  <r>
    <x v="3"/>
    <x v="3"/>
    <x v="6"/>
    <n v="1047463"/>
    <n v="44600"/>
    <n v="179873.16"/>
    <n v="4548"/>
    <n v="893147"/>
    <n v="11610911"/>
    <x v="0"/>
  </r>
  <r>
    <x v="3"/>
    <x v="3"/>
    <x v="6"/>
    <n v="1601970"/>
    <n v="45029"/>
    <n v="299975.94"/>
    <n v="4151"/>
    <n v="828851"/>
    <n v="14919318"/>
    <x v="0"/>
  </r>
  <r>
    <x v="3"/>
    <x v="3"/>
    <x v="6"/>
    <n v="501581"/>
    <n v="12420"/>
    <n v="119995.2"/>
    <n v="1544"/>
    <n v="300507"/>
    <n v="4507605"/>
    <x v="0"/>
  </r>
  <r>
    <x v="3"/>
    <x v="1"/>
    <x v="2"/>
    <n v="629612"/>
    <n v="25435"/>
    <n v="179899.03"/>
    <n v="2918"/>
    <n v="1058094"/>
    <n v="16929504"/>
    <x v="1"/>
  </r>
  <r>
    <x v="3"/>
    <x v="1"/>
    <x v="2"/>
    <n v="1182258"/>
    <n v="32977"/>
    <n v="299782"/>
    <n v="2958"/>
    <n v="1057640"/>
    <n v="4146564.8375508399"/>
    <x v="0"/>
  </r>
  <r>
    <x v="3"/>
    <x v="1"/>
    <x v="2"/>
    <n v="422936"/>
    <n v="9876"/>
    <n v="119818.55"/>
    <n v="832"/>
    <n v="307755"/>
    <n v="5231835.0000000009"/>
    <x v="0"/>
  </r>
  <r>
    <x v="3"/>
    <x v="3"/>
    <x v="7"/>
    <n v="1235885"/>
    <n v="53357"/>
    <n v="419504.45"/>
    <n v="7050"/>
    <n v="1787195"/>
    <n v="23233535"/>
    <x v="1"/>
  </r>
  <r>
    <x v="3"/>
    <x v="3"/>
    <x v="7"/>
    <n v="2181069"/>
    <n v="77966"/>
    <n v="699708.26"/>
    <n v="6944"/>
    <n v="1762842"/>
    <n v="22916946.000000004"/>
    <x v="1"/>
  </r>
  <r>
    <x v="3"/>
    <x v="3"/>
    <x v="7"/>
    <n v="802369"/>
    <n v="23779"/>
    <n v="279243.05"/>
    <n v="1582"/>
    <n v="398568"/>
    <n v="7572792"/>
    <x v="0"/>
  </r>
  <r>
    <x v="4"/>
    <x v="0"/>
    <x v="0"/>
    <n v="1895975"/>
    <n v="46637"/>
    <n v="255773.26"/>
    <n v="2829"/>
    <n v="656285"/>
    <n v="9187990"/>
    <x v="0"/>
  </r>
  <r>
    <x v="4"/>
    <x v="0"/>
    <x v="0"/>
    <n v="609012"/>
    <n v="12456"/>
    <n v="136163.41"/>
    <n v="711"/>
    <n v="175026"/>
    <n v="2275338"/>
    <x v="0"/>
  </r>
  <r>
    <x v="4"/>
    <x v="0"/>
    <x v="0"/>
    <n v="2017605"/>
    <n v="54075"/>
    <n v="246456.08"/>
    <n v="3707"/>
    <n v="811972"/>
    <n v="2508495.217147226"/>
    <x v="0"/>
  </r>
  <r>
    <x v="4"/>
    <x v="2"/>
    <x v="5"/>
    <n v="1306925"/>
    <n v="49308"/>
    <n v="499975.17"/>
    <n v="13055"/>
    <n v="3682574"/>
    <n v="44190888"/>
    <x v="1"/>
  </r>
  <r>
    <x v="1"/>
    <x v="2"/>
    <x v="5"/>
    <n v="1217560"/>
    <n v="33651"/>
    <n v="354673.06"/>
    <n v="6752"/>
    <n v="1724782"/>
    <n v="20697384"/>
    <x v="1"/>
  </r>
  <r>
    <x v="4"/>
    <x v="2"/>
    <x v="5"/>
    <n v="1501053"/>
    <n v="44484"/>
    <n v="464766.31"/>
    <n v="9170"/>
    <n v="2435281"/>
    <n v="41399777"/>
    <x v="1"/>
  </r>
  <r>
    <x v="2"/>
    <x v="0"/>
    <x v="1"/>
    <n v="307443"/>
    <n v="12891"/>
    <n v="99990.81"/>
    <n v="2117"/>
    <n v="518517"/>
    <n v="8296272"/>
    <x v="0"/>
  </r>
  <r>
    <x v="4"/>
    <x v="0"/>
    <x v="1"/>
    <n v="447098"/>
    <n v="10104"/>
    <n v="80010.240000000005"/>
    <n v="1098"/>
    <n v="294238"/>
    <n v="5906142.2541116169"/>
    <x v="0"/>
  </r>
  <r>
    <x v="4"/>
    <x v="0"/>
    <x v="1"/>
    <n v="749478"/>
    <n v="16370"/>
    <n v="149978.65"/>
    <n v="1662"/>
    <n v="424677"/>
    <n v="4246770"/>
    <x v="0"/>
  </r>
  <r>
    <x v="4"/>
    <x v="1"/>
    <x v="3"/>
    <n v="9822740"/>
    <n v="292168"/>
    <n v="1284748.23"/>
    <n v="20045"/>
    <n v="4008537"/>
    <n v="48102444"/>
    <x v="1"/>
  </r>
  <r>
    <x v="4"/>
    <x v="1"/>
    <x v="3"/>
    <n v="6303669"/>
    <n v="135973"/>
    <n v="943359.5299999998"/>
    <n v="15234"/>
    <n v="2860186"/>
    <n v="34322232"/>
    <x v="1"/>
  </r>
  <r>
    <x v="4"/>
    <x v="1"/>
    <x v="3"/>
    <n v="17359807"/>
    <n v="446319"/>
    <n v="2602779.46"/>
    <n v="32077"/>
    <n v="6344246"/>
    <n v="101507936"/>
    <x v="1"/>
  </r>
  <r>
    <x v="4"/>
    <x v="2"/>
    <x v="4"/>
    <n v="2721050"/>
    <n v="87577"/>
    <n v="702909.5"/>
    <n v="7997"/>
    <n v="1628317"/>
    <n v="21168121.000000004"/>
    <x v="1"/>
  </r>
  <r>
    <x v="1"/>
    <x v="2"/>
    <x v="4"/>
    <n v="2293487"/>
    <n v="56121"/>
    <n v="567680.43999999994"/>
    <n v="5763"/>
    <n v="1144136"/>
    <n v="19776314.29481085"/>
    <x v="1"/>
  </r>
  <r>
    <x v="4"/>
    <x v="2"/>
    <x v="4"/>
    <n v="3578416"/>
    <n v="102241"/>
    <n v="890105.77"/>
    <n v="9326"/>
    <n v="1886399"/>
    <n v="18863990.000000004"/>
    <x v="1"/>
  </r>
  <r>
    <x v="4"/>
    <x v="3"/>
    <x v="6"/>
    <n v="952159"/>
    <n v="38636"/>
    <n v="217989.73"/>
    <n v="3325"/>
    <n v="723630"/>
    <n v="7236300"/>
    <x v="0"/>
  </r>
  <r>
    <x v="4"/>
    <x v="3"/>
    <x v="6"/>
    <n v="546861"/>
    <n v="13211"/>
    <n v="112020.16"/>
    <n v="969"/>
    <n v="205762"/>
    <n v="2057620"/>
    <x v="0"/>
  </r>
  <r>
    <x v="4"/>
    <x v="3"/>
    <x v="6"/>
    <n v="1235879"/>
    <n v="33768"/>
    <n v="279890.58"/>
    <n v="2156"/>
    <n v="457429"/>
    <n v="3659432"/>
    <x v="0"/>
  </r>
  <r>
    <x v="4"/>
    <x v="1"/>
    <x v="2"/>
    <n v="1307420"/>
    <n v="52746"/>
    <n v="370119.8"/>
    <n v="6815"/>
    <n v="2354660"/>
    <n v="30610580"/>
    <x v="1"/>
  </r>
  <r>
    <x v="1"/>
    <x v="1"/>
    <x v="2"/>
    <n v="572616"/>
    <n v="16123"/>
    <n v="176050.11"/>
    <n v="1509"/>
    <n v="574113"/>
    <n v="7463469"/>
    <x v="0"/>
  </r>
  <r>
    <x v="4"/>
    <x v="1"/>
    <x v="2"/>
    <n v="1143398"/>
    <n v="38095"/>
    <n v="340070.92"/>
    <n v="3084"/>
    <n v="1134062"/>
    <n v="14742806"/>
    <x v="0"/>
  </r>
  <r>
    <x v="4"/>
    <x v="3"/>
    <x v="7"/>
    <n v="856649"/>
    <n v="42045"/>
    <n v="392246.59"/>
    <n v="10086"/>
    <n v="2506440"/>
    <n v="32583720"/>
    <x v="1"/>
  </r>
  <r>
    <x v="4"/>
    <x v="3"/>
    <x v="7"/>
    <n v="1211108"/>
    <n v="31018"/>
    <n v="373357.92"/>
    <n v="4527"/>
    <n v="1084264"/>
    <n v="18905430.359759443"/>
    <x v="1"/>
  </r>
  <r>
    <x v="4"/>
    <x v="3"/>
    <x v="7"/>
    <n v="1400663"/>
    <n v="47708"/>
    <n v="419772.32"/>
    <n v="6384"/>
    <n v="1587353"/>
    <n v="20635589"/>
    <x v="1"/>
  </r>
  <r>
    <x v="5"/>
    <x v="0"/>
    <x v="0"/>
    <n v="1463088"/>
    <n v="33333"/>
    <n v="202747.18"/>
    <n v="2035"/>
    <n v="415310"/>
    <n v="7169196.8327879058"/>
    <x v="0"/>
  </r>
  <r>
    <x v="1"/>
    <x v="0"/>
    <x v="0"/>
    <n v="1418328"/>
    <n v="23837"/>
    <n v="215166.84"/>
    <n v="1418"/>
    <n v="323655"/>
    <n v="2589240"/>
    <x v="0"/>
  </r>
  <r>
    <x v="5"/>
    <x v="0"/>
    <x v="0"/>
    <n v="2304559"/>
    <n v="46256"/>
    <n v="310025.86"/>
    <n v="2856"/>
    <n v="613727"/>
    <n v="6137270"/>
    <x v="0"/>
  </r>
  <r>
    <x v="5"/>
    <x v="2"/>
    <x v="5"/>
    <n v="1618457"/>
    <n v="47890"/>
    <n v="386910.19"/>
    <n v="10288"/>
    <n v="3118238"/>
    <n v="31182380"/>
    <x v="1"/>
  </r>
  <r>
    <x v="5"/>
    <x v="2"/>
    <x v="5"/>
    <n v="1565718"/>
    <n v="35397"/>
    <n v="340403.22"/>
    <n v="5427"/>
    <n v="1601693"/>
    <n v="12813544"/>
    <x v="0"/>
  </r>
  <r>
    <x v="5"/>
    <x v="2"/>
    <x v="5"/>
    <n v="1670949"/>
    <n v="42956"/>
    <n v="431426.56"/>
    <n v="6742"/>
    <n v="2048517"/>
    <n v="13933733.040346371"/>
    <x v="0"/>
  </r>
  <r>
    <x v="5"/>
    <x v="0"/>
    <x v="1"/>
    <n v="405647"/>
    <n v="10818"/>
    <n v="60024.66"/>
    <n v="2000"/>
    <n v="474222"/>
    <n v="6164886"/>
    <x v="0"/>
  </r>
  <r>
    <x v="5"/>
    <x v="0"/>
    <x v="1"/>
    <n v="499399"/>
    <n v="9512"/>
    <n v="55017.73"/>
    <n v="1171"/>
    <n v="276402"/>
    <n v="2764020"/>
    <x v="0"/>
  </r>
  <r>
    <x v="5"/>
    <x v="0"/>
    <x v="1"/>
    <n v="501598"/>
    <n v="9658"/>
    <n v="55053.919999999998"/>
    <n v="1115"/>
    <n v="273989"/>
    <n v="2191912"/>
    <x v="0"/>
  </r>
  <r>
    <x v="5"/>
    <x v="1"/>
    <x v="3"/>
    <n v="12603603"/>
    <n v="317998"/>
    <n v="1263032.8900000001"/>
    <n v="19879"/>
    <n v="4166025"/>
    <n v="49992300"/>
    <x v="1"/>
  </r>
  <r>
    <x v="5"/>
    <x v="1"/>
    <x v="3"/>
    <n v="7571046"/>
    <n v="159961"/>
    <n v="1056357.6599999999"/>
    <n v="14248"/>
    <n v="2670548"/>
    <n v="19644569.2837102"/>
    <x v="1"/>
  </r>
  <r>
    <x v="5"/>
    <x v="1"/>
    <x v="3"/>
    <n v="20777001"/>
    <n v="479827"/>
    <n v="2843872.56"/>
    <n v="33751"/>
    <n v="6855119"/>
    <n v="82261427.999999985"/>
    <x v="1"/>
  </r>
  <r>
    <x v="5"/>
    <x v="2"/>
    <x v="4"/>
    <n v="1989601"/>
    <n v="50353"/>
    <n v="350360"/>
    <n v="4550"/>
    <n v="967878"/>
    <n v="15486048.000000002"/>
    <x v="1"/>
  </r>
  <r>
    <x v="5"/>
    <x v="2"/>
    <x v="4"/>
    <n v="2077515"/>
    <n v="51688"/>
    <n v="350433.28000000003"/>
    <n v="4655"/>
    <n v="981343"/>
    <n v="8108039.9513312178"/>
    <x v="0"/>
  </r>
  <r>
    <x v="5"/>
    <x v="2"/>
    <x v="4"/>
    <n v="2393609"/>
    <n v="55602"/>
    <n v="475237.4"/>
    <n v="5071"/>
    <n v="1040244"/>
    <n v="10402440"/>
    <x v="0"/>
  </r>
  <r>
    <x v="5"/>
    <x v="3"/>
    <x v="6"/>
    <n v="1101487"/>
    <n v="30632"/>
    <n v="187216.18"/>
    <n v="1850"/>
    <n v="398337"/>
    <n v="3186696"/>
    <x v="0"/>
  </r>
  <r>
    <x v="5"/>
    <x v="3"/>
    <x v="6"/>
    <n v="1261614"/>
    <n v="28819"/>
    <n v="207387.2"/>
    <n v="1334"/>
    <n v="272357"/>
    <n v="4357712"/>
    <x v="0"/>
  </r>
  <r>
    <x v="5"/>
    <x v="3"/>
    <x v="6"/>
    <n v="1493650"/>
    <n v="37514"/>
    <n v="315143.64"/>
    <n v="1692"/>
    <n v="366787"/>
    <n v="2934296"/>
    <x v="0"/>
  </r>
  <r>
    <x v="5"/>
    <x v="1"/>
    <x v="2"/>
    <n v="1424552"/>
    <n v="45917"/>
    <n v="300152.83"/>
    <n v="5464"/>
    <n v="2099675"/>
    <n v="33594800"/>
    <x v="1"/>
  </r>
  <r>
    <x v="5"/>
    <x v="1"/>
    <x v="2"/>
    <n v="1476820"/>
    <n v="36509"/>
    <n v="305199.46000000002"/>
    <n v="2264"/>
    <n v="910788"/>
    <n v="11331779.223722111"/>
    <x v="0"/>
  </r>
  <r>
    <x v="5"/>
    <x v="1"/>
    <x v="2"/>
    <n v="2129149"/>
    <n v="51360"/>
    <n v="444915.27"/>
    <n v="3286"/>
    <n v="1284153"/>
    <n v="16693989.000000002"/>
    <x v="1"/>
  </r>
  <r>
    <x v="5"/>
    <x v="3"/>
    <x v="7"/>
    <n v="1025426"/>
    <n v="31830"/>
    <n v="287990.87"/>
    <n v="8279"/>
    <n v="2077386"/>
    <n v="24928631.999999996"/>
    <x v="1"/>
  </r>
  <r>
    <x v="5"/>
    <x v="3"/>
    <x v="7"/>
    <n v="1343365"/>
    <n v="25053"/>
    <n v="228157.86"/>
    <n v="3056"/>
    <n v="759678"/>
    <n v="9116136"/>
    <x v="0"/>
  </r>
  <r>
    <x v="5"/>
    <x v="3"/>
    <x v="7"/>
    <n v="1234202"/>
    <n v="27881"/>
    <n v="250268.96"/>
    <n v="3518"/>
    <n v="886532"/>
    <n v="10638384"/>
    <x v="0"/>
  </r>
  <r>
    <x v="1"/>
    <x v="3"/>
    <x v="6"/>
    <n v="4062525"/>
    <n v="104753"/>
    <n v="925021.25"/>
    <n v="23799"/>
    <n v="4656396"/>
    <n v="34215327.7277529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F6015-1D21-44F5-967A-1DA7D854447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25" firstHeaderRow="1" firstDataRow="1" firstDataCol="1"/>
  <pivotFields count="10">
    <pivotField showAll="0"/>
    <pivotField showAll="0"/>
    <pivotField axis="axisRow" showAll="0">
      <items count="9">
        <item x="5"/>
        <item x="1"/>
        <item x="7"/>
        <item x="2"/>
        <item x="4"/>
        <item x="3"/>
        <item x="0"/>
        <item x="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multipleItemSelectionAllowed="1" showAll="0">
      <items count="3">
        <item h="1" x="0"/>
        <item x="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 Sales" fld="8" subtotal="average" baseField="2" baseItem="3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B1195-7D7F-4965-BEF3-C308B6F788C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0" firstHeaderRow="1" firstDataRow="1" firstDataCol="1" rowPageCount="1" colPageCount="1"/>
  <pivotFields count="10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9">
        <item x="5"/>
        <item h="1" x="1"/>
        <item h="1" x="7"/>
        <item h="1" x="2"/>
        <item h="1" x="4"/>
        <item h="1" x="3"/>
        <item h="1" x="0"/>
        <item h="1" x="6"/>
        <item t="default"/>
      </items>
    </pivotField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</pivotFields>
  <rowFields count="1">
    <field x="0"/>
  </rowFields>
  <rowItems count="7">
    <i>
      <x v="5"/>
    </i>
    <i>
      <x v="4"/>
    </i>
    <i>
      <x/>
    </i>
    <i>
      <x v="3"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 of Orders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55628-FE4C-40B4-8F3D-AC352C3F98C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1" firstHeaderRow="0" firstDataRow="1" firstDataCol="1"/>
  <pivotFields count="10">
    <pivotField showAll="0"/>
    <pivotField axis="axisRow" showAll="0">
      <items count="5">
        <item x="0"/>
        <item x="1"/>
        <item x="3"/>
        <item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dataField="1" numFmtId="1" showAll="0"/>
    <pivotField numFmtId="1" showAll="0"/>
    <pivotField numFmtId="1" showAll="0"/>
    <pivotField numFmtId="1" showAll="0"/>
    <pivotField dataField="1" numFmtI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8" baseField="0" baseItem="0" numFmtId="1"/>
    <dataField name="Sum of Clicks" fld="4" baseField="0" baseItem="0" numFmtId="1"/>
    <dataField name="Sum of Impressions" fld="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030DA-5310-413C-B168-3A0F01A76FA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10">
    <pivotField showAll="0"/>
    <pivotField showAll="0"/>
    <pivotField axis="axisRow" showAll="0" sortType="descending">
      <items count="9">
        <item x="5"/>
        <item x="1"/>
        <item x="7"/>
        <item x="2"/>
        <item x="4"/>
        <item x="3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dataField="1" numFmtId="1" showAll="0"/>
    <pivotField numFmtId="1" showAll="0"/>
    <pivotField numFmtId="1" showAll="0"/>
    <pivotField numFmtId="1" showAll="0"/>
    <pivotField dataField="1" numFmtId="1" showAll="0"/>
    <pivotField showAll="0"/>
  </pivotFields>
  <rowFields count="1">
    <field x="2"/>
  </rowFields>
  <rowItems count="9">
    <i>
      <x v="5"/>
    </i>
    <i>
      <x/>
    </i>
    <i>
      <x v="2"/>
    </i>
    <i>
      <x v="3"/>
    </i>
    <i>
      <x v="4"/>
    </i>
    <i>
      <x v="7"/>
    </i>
    <i>
      <x v="1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8" baseField="0" baseItem="0" numFmtId="1"/>
    <dataField name="Sum of Clicks" fld="4" baseField="0" baseItem="0" numFmtId="1"/>
    <dataField name="Sum of Impressions" fld="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68669-77BF-4582-86F7-124FC4B87192}" name="Table1" displayName="Table1" ref="A1:J93" totalsRowCount="1" headerRowDxfId="11" dataDxfId="12" headerRowBorderDxfId="23" tableBorderDxfId="24" totalsRowBorderDxfId="22">
  <autoFilter ref="A1:J92" xr:uid="{DF568669-77BF-4582-86F7-124FC4B87192}"/>
  <tableColumns count="10">
    <tableColumn id="1" xr3:uid="{62DE6D21-F445-4EA2-8792-2DAD2222D08B}" name="Month" totalsRowLabel="Total" dataDxfId="21" totalsRowDxfId="10"/>
    <tableColumn id="2" xr3:uid="{A5AD86F0-FA06-4D35-85D2-2C2B4F054577}" name="Category" dataDxfId="20" totalsRowDxfId="9"/>
    <tableColumn id="3" xr3:uid="{534C7B68-3724-43BA-B278-DA69078F0A96}" name="Brand" dataDxfId="19" totalsRowDxfId="8"/>
    <tableColumn id="4" xr3:uid="{64051F2A-0F3D-4254-AACB-5B28A90E1FB6}" name="Impressions" dataDxfId="18" totalsRowDxfId="7"/>
    <tableColumn id="5" xr3:uid="{4DD6CCD3-0E4B-44C1-ADE1-00B4A53C2BBB}" name="Clicks" dataDxfId="17" totalsRowDxfId="6"/>
    <tableColumn id="6" xr3:uid="{E984CA99-5188-430F-93E7-96E687DEAF0B}" name="Spends" dataDxfId="16" totalsRowDxfId="5"/>
    <tableColumn id="7" xr3:uid="{FE10E029-72CC-4856-B247-01A96883AD8D}" name="Orders" dataDxfId="15" totalsRowDxfId="4"/>
    <tableColumn id="8" xr3:uid="{2ACE589F-C02F-4073-8395-8D19C45B9BF6}" name="Media Sales" dataDxfId="14" totalsRowDxfId="3"/>
    <tableColumn id="9" xr3:uid="{6A14184D-E103-4F91-BACE-1D7A8B0551BD}" name="Total Sales" totalsRowFunction="sum" dataDxfId="13" totalsRowDxfId="2"/>
    <tableColumn id="10" xr3:uid="{98C2DA9E-7685-48D3-8C75-7350DD810F72}" name="&gt;1.5Cr" dataDxfId="0" totalsRowDxfId="1">
      <calculatedColumnFormula>Table1[[#This Row],[Total Sales]]&gt;15000000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68F0-79AC-4834-BEB7-4777B421F569}">
  <dimension ref="A1:K25"/>
  <sheetViews>
    <sheetView tabSelected="1" topLeftCell="E1"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2.109375" bestFit="1" customWidth="1"/>
    <col min="4" max="4" width="17.6640625" bestFit="1" customWidth="1"/>
    <col min="7" max="7" width="10" bestFit="1" customWidth="1"/>
    <col min="10" max="10" width="12.5546875" bestFit="1" customWidth="1"/>
    <col min="11" max="11" width="19.6640625" bestFit="1" customWidth="1"/>
    <col min="12" max="12" width="12.109375" bestFit="1" customWidth="1"/>
    <col min="13" max="13" width="17.6640625" bestFit="1" customWidth="1"/>
  </cols>
  <sheetData>
    <row r="1" spans="1:11" x14ac:dyDescent="0.3">
      <c r="J1" s="14" t="s">
        <v>1</v>
      </c>
      <c r="K1" t="s">
        <v>23</v>
      </c>
    </row>
    <row r="3" spans="1:11" x14ac:dyDescent="0.3">
      <c r="A3" s="14" t="s">
        <v>28</v>
      </c>
      <c r="B3" t="s">
        <v>30</v>
      </c>
      <c r="C3" t="s">
        <v>31</v>
      </c>
      <c r="D3" t="s">
        <v>32</v>
      </c>
      <c r="J3" s="14" t="s">
        <v>28</v>
      </c>
      <c r="K3" t="s">
        <v>33</v>
      </c>
    </row>
    <row r="4" spans="1:11" x14ac:dyDescent="0.3">
      <c r="A4" s="15" t="s">
        <v>20</v>
      </c>
      <c r="B4" s="16">
        <v>664552041.59297848</v>
      </c>
      <c r="C4" s="16">
        <v>3150089</v>
      </c>
      <c r="D4" s="16">
        <v>128407623</v>
      </c>
      <c r="F4" s="16">
        <v>3150089</v>
      </c>
      <c r="G4" s="16">
        <v>128407623</v>
      </c>
      <c r="H4" s="17">
        <f>F4/G4</f>
        <v>2.4531946985733081E-2</v>
      </c>
      <c r="J4" s="15" t="s">
        <v>11</v>
      </c>
      <c r="K4" s="16">
        <v>22457</v>
      </c>
    </row>
    <row r="5" spans="1:11" x14ac:dyDescent="0.3">
      <c r="A5" s="15" t="s">
        <v>23</v>
      </c>
      <c r="B5" s="16">
        <v>387293425.04034638</v>
      </c>
      <c r="C5" s="16">
        <v>559912</v>
      </c>
      <c r="D5" s="16">
        <v>22790755</v>
      </c>
      <c r="F5" s="16">
        <v>559912</v>
      </c>
      <c r="G5" s="16">
        <v>22790755</v>
      </c>
      <c r="H5" s="17">
        <f t="shared" ref="H5:H11" si="0">F5/G5</f>
        <v>2.4567505552141648E-2</v>
      </c>
      <c r="J5" s="15" t="s">
        <v>10</v>
      </c>
      <c r="K5" s="16">
        <v>22225</v>
      </c>
    </row>
    <row r="6" spans="1:11" x14ac:dyDescent="0.3">
      <c r="A6" s="15" t="s">
        <v>26</v>
      </c>
      <c r="B6" s="16">
        <v>195876847.35975945</v>
      </c>
      <c r="C6" s="16">
        <v>622877</v>
      </c>
      <c r="D6" s="16">
        <v>22799419</v>
      </c>
      <c r="F6" s="16">
        <v>622877</v>
      </c>
      <c r="G6" s="16">
        <v>22799419</v>
      </c>
      <c r="H6" s="17">
        <f t="shared" si="0"/>
        <v>2.7319862843873347E-2</v>
      </c>
      <c r="J6" s="15" t="s">
        <v>6</v>
      </c>
      <c r="K6" s="16">
        <v>21141</v>
      </c>
    </row>
    <row r="7" spans="1:11" x14ac:dyDescent="0.3">
      <c r="A7" s="15" t="s">
        <v>19</v>
      </c>
      <c r="B7" s="16">
        <v>174607558.06127295</v>
      </c>
      <c r="C7" s="16">
        <v>370881</v>
      </c>
      <c r="D7" s="16">
        <v>13038425</v>
      </c>
      <c r="F7" s="16">
        <v>370881</v>
      </c>
      <c r="G7" s="16">
        <v>13038425</v>
      </c>
      <c r="H7" s="17">
        <f t="shared" si="0"/>
        <v>2.8445230156249699E-2</v>
      </c>
      <c r="J7" s="15" t="s">
        <v>9</v>
      </c>
      <c r="K7" s="16">
        <v>19398</v>
      </c>
    </row>
    <row r="8" spans="1:11" x14ac:dyDescent="0.3">
      <c r="A8" s="15" t="s">
        <v>22</v>
      </c>
      <c r="B8" s="16">
        <v>144390068.13281146</v>
      </c>
      <c r="C8" s="16">
        <v>650603</v>
      </c>
      <c r="D8" s="16">
        <v>23534796</v>
      </c>
      <c r="F8" s="16">
        <v>650603</v>
      </c>
      <c r="G8" s="16">
        <v>23534796</v>
      </c>
      <c r="H8" s="17">
        <f t="shared" si="0"/>
        <v>2.7644301654452412E-2</v>
      </c>
      <c r="J8" s="15" t="s">
        <v>7</v>
      </c>
      <c r="K8" s="16">
        <v>9297</v>
      </c>
    </row>
    <row r="9" spans="1:11" x14ac:dyDescent="0.3">
      <c r="A9" s="15" t="s">
        <v>25</v>
      </c>
      <c r="B9" s="16">
        <v>109490301.72775292</v>
      </c>
      <c r="C9" s="16">
        <v>468630</v>
      </c>
      <c r="D9" s="16">
        <v>17360723</v>
      </c>
      <c r="F9" s="16">
        <v>468630</v>
      </c>
      <c r="G9" s="16">
        <v>17360723</v>
      </c>
      <c r="H9" s="17">
        <f t="shared" si="0"/>
        <v>2.6993691449371089E-2</v>
      </c>
      <c r="J9" s="15" t="s">
        <v>8</v>
      </c>
      <c r="K9" s="16">
        <v>5411</v>
      </c>
    </row>
    <row r="10" spans="1:11" x14ac:dyDescent="0.3">
      <c r="A10" s="15" t="s">
        <v>14</v>
      </c>
      <c r="B10" s="16">
        <v>101643263.08738989</v>
      </c>
      <c r="C10" s="16">
        <v>136802</v>
      </c>
      <c r="D10" s="16">
        <v>5872500</v>
      </c>
      <c r="F10" s="16">
        <v>136802</v>
      </c>
      <c r="G10" s="16">
        <v>5872500</v>
      </c>
      <c r="H10" s="17">
        <f t="shared" si="0"/>
        <v>2.3295359727543635E-2</v>
      </c>
      <c r="J10" s="15" t="s">
        <v>29</v>
      </c>
      <c r="K10" s="16">
        <v>99929</v>
      </c>
    </row>
    <row r="11" spans="1:11" x14ac:dyDescent="0.3">
      <c r="A11" s="15" t="s">
        <v>15</v>
      </c>
      <c r="B11" s="16">
        <v>50894246.114239946</v>
      </c>
      <c r="C11" s="16">
        <v>375357</v>
      </c>
      <c r="D11" s="16">
        <v>17131367</v>
      </c>
      <c r="F11" s="16">
        <v>375357</v>
      </c>
      <c r="G11" s="16">
        <v>17131367</v>
      </c>
      <c r="H11" s="17">
        <f t="shared" si="0"/>
        <v>2.1910510702385862E-2</v>
      </c>
    </row>
    <row r="12" spans="1:11" x14ac:dyDescent="0.3">
      <c r="A12" s="15" t="s">
        <v>29</v>
      </c>
      <c r="B12" s="16">
        <v>1828747751.1165514</v>
      </c>
      <c r="C12" s="16">
        <v>6335151</v>
      </c>
      <c r="D12" s="16">
        <v>250935608</v>
      </c>
    </row>
    <row r="16" spans="1:11" x14ac:dyDescent="0.3">
      <c r="A16" s="14" t="s">
        <v>28</v>
      </c>
      <c r="B16" t="s">
        <v>30</v>
      </c>
      <c r="C16" t="s">
        <v>31</v>
      </c>
      <c r="D16" t="s">
        <v>32</v>
      </c>
      <c r="J16" s="14" t="s">
        <v>28</v>
      </c>
      <c r="K16" t="s">
        <v>35</v>
      </c>
    </row>
    <row r="17" spans="1:11" x14ac:dyDescent="0.3">
      <c r="A17" s="15" t="s">
        <v>17</v>
      </c>
      <c r="B17" s="16">
        <v>152537509.20162982</v>
      </c>
      <c r="C17" s="16">
        <v>512159</v>
      </c>
      <c r="D17" s="16">
        <v>23003867</v>
      </c>
      <c r="F17" s="16">
        <v>512159</v>
      </c>
      <c r="G17" s="16">
        <v>23003867</v>
      </c>
      <c r="H17" s="18">
        <f>F17/G17</f>
        <v>2.2264039346080379E-2</v>
      </c>
      <c r="J17" s="15" t="s">
        <v>23</v>
      </c>
      <c r="K17" s="16">
        <v>35208493.185486034</v>
      </c>
    </row>
    <row r="18" spans="1:11" x14ac:dyDescent="0.3">
      <c r="A18" s="15" t="s">
        <v>18</v>
      </c>
      <c r="B18" s="16">
        <v>839159599.65425146</v>
      </c>
      <c r="C18" s="16">
        <v>3520970</v>
      </c>
      <c r="D18" s="16">
        <v>141446048</v>
      </c>
      <c r="F18" s="16">
        <v>3520970</v>
      </c>
      <c r="G18" s="16">
        <v>141446048</v>
      </c>
      <c r="H18" s="18">
        <f t="shared" ref="H18:H20" si="1">F18/G18</f>
        <v>2.4892671444592077E-2</v>
      </c>
      <c r="J18" s="15" t="s">
        <v>14</v>
      </c>
      <c r="K18" s="16">
        <v>9240296.6443081722</v>
      </c>
    </row>
    <row r="19" spans="1:11" x14ac:dyDescent="0.3">
      <c r="A19" s="15" t="s">
        <v>24</v>
      </c>
      <c r="B19" s="16">
        <v>305367149.08751237</v>
      </c>
      <c r="C19" s="16">
        <v>1091507</v>
      </c>
      <c r="D19" s="16">
        <v>40160142</v>
      </c>
      <c r="F19" s="16">
        <v>1091507</v>
      </c>
      <c r="G19" s="16">
        <v>40160142</v>
      </c>
      <c r="H19" s="18">
        <f t="shared" si="1"/>
        <v>2.7178863062784987E-2</v>
      </c>
      <c r="J19" s="15" t="s">
        <v>26</v>
      </c>
      <c r="K19" s="16">
        <v>16323070.613313287</v>
      </c>
    </row>
    <row r="20" spans="1:11" x14ac:dyDescent="0.3">
      <c r="A20" s="15" t="s">
        <v>21</v>
      </c>
      <c r="B20" s="16">
        <v>531683493.17315781</v>
      </c>
      <c r="C20" s="16">
        <v>1210515</v>
      </c>
      <c r="D20" s="16">
        <v>46325551</v>
      </c>
      <c r="F20" s="16">
        <v>1210515</v>
      </c>
      <c r="G20" s="16">
        <v>46325551</v>
      </c>
      <c r="H20" s="18">
        <f t="shared" si="1"/>
        <v>2.6130612024452771E-2</v>
      </c>
      <c r="J20" s="15" t="s">
        <v>19</v>
      </c>
      <c r="K20" s="16">
        <v>15873414.369206632</v>
      </c>
    </row>
    <row r="21" spans="1:11" x14ac:dyDescent="0.3">
      <c r="A21" s="15" t="s">
        <v>29</v>
      </c>
      <c r="B21" s="16">
        <v>1828747751.1165514</v>
      </c>
      <c r="C21" s="16">
        <v>6335151</v>
      </c>
      <c r="D21" s="16">
        <v>250935608</v>
      </c>
      <c r="J21" s="15" t="s">
        <v>22</v>
      </c>
      <c r="K21" s="16">
        <v>13126369.830255587</v>
      </c>
    </row>
    <row r="22" spans="1:11" x14ac:dyDescent="0.3">
      <c r="J22" s="15" t="s">
        <v>20</v>
      </c>
      <c r="K22" s="16">
        <v>55379336.799414873</v>
      </c>
    </row>
    <row r="23" spans="1:11" x14ac:dyDescent="0.3">
      <c r="J23" s="15" t="s">
        <v>15</v>
      </c>
      <c r="K23" s="16">
        <v>4626749.6467490857</v>
      </c>
    </row>
    <row r="24" spans="1:11" x14ac:dyDescent="0.3">
      <c r="J24" s="15" t="s">
        <v>25</v>
      </c>
      <c r="K24" s="16">
        <v>9124191.8106460776</v>
      </c>
    </row>
    <row r="25" spans="1:11" x14ac:dyDescent="0.3">
      <c r="J25" s="15" t="s">
        <v>29</v>
      </c>
      <c r="K25" s="16">
        <v>20096129.133148916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8E0E-C9C5-4AB5-97D1-EBD683AD675F}">
  <dimension ref="A1:J93"/>
  <sheetViews>
    <sheetView showGridLines="0" workbookViewId="0">
      <selection activeCell="J3" sqref="J3"/>
    </sheetView>
  </sheetViews>
  <sheetFormatPr defaultRowHeight="14.4" x14ac:dyDescent="0.3"/>
  <cols>
    <col min="1" max="1" width="8.6640625" customWidth="1"/>
    <col min="2" max="2" width="10.44140625" customWidth="1"/>
    <col min="3" max="3" width="12" bestFit="1" customWidth="1"/>
    <col min="4" max="4" width="12.88671875" customWidth="1"/>
    <col min="5" max="5" width="10.109375" bestFit="1" customWidth="1"/>
    <col min="6" max="6" width="9" customWidth="1"/>
    <col min="7" max="7" width="8.44140625" customWidth="1"/>
    <col min="8" max="8" width="12.88671875" customWidth="1"/>
    <col min="9" max="9" width="11.77734375" customWidth="1"/>
    <col min="10" max="10" width="10.77734375" bestFit="1" customWidth="1"/>
  </cols>
  <sheetData>
    <row r="1" spans="1:10" x14ac:dyDescent="0.3">
      <c r="A1" s="5" t="s">
        <v>0</v>
      </c>
      <c r="B1" s="6" t="s">
        <v>16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12</v>
      </c>
      <c r="I1" s="8" t="s">
        <v>13</v>
      </c>
      <c r="J1" s="7" t="s">
        <v>34</v>
      </c>
    </row>
    <row r="2" spans="1:10" x14ac:dyDescent="0.3">
      <c r="A2" s="3" t="s">
        <v>6</v>
      </c>
      <c r="B2" s="1" t="s">
        <v>17</v>
      </c>
      <c r="C2" s="1" t="s">
        <v>15</v>
      </c>
      <c r="D2" s="2">
        <v>2019018</v>
      </c>
      <c r="E2" s="2">
        <v>40047</v>
      </c>
      <c r="F2" s="2">
        <v>420033.6399999999</v>
      </c>
      <c r="G2" s="2">
        <v>1004</v>
      </c>
      <c r="H2" s="2">
        <v>253169</v>
      </c>
      <c r="I2" s="4">
        <v>3397972.06430481</v>
      </c>
      <c r="J2" s="19" t="b">
        <f>Table1[[#This Row],[Total Sales]]&gt;15000000</f>
        <v>0</v>
      </c>
    </row>
    <row r="3" spans="1:10" x14ac:dyDescent="0.3">
      <c r="A3" s="3" t="s">
        <v>6</v>
      </c>
      <c r="B3" s="1" t="s">
        <v>17</v>
      </c>
      <c r="C3" s="1" t="s">
        <v>14</v>
      </c>
      <c r="D3" s="2">
        <v>1546928</v>
      </c>
      <c r="E3" s="2">
        <v>29935</v>
      </c>
      <c r="F3" s="2">
        <v>371230.43999999994</v>
      </c>
      <c r="G3" s="2">
        <v>5253</v>
      </c>
      <c r="H3" s="2">
        <v>1537381</v>
      </c>
      <c r="I3" s="4">
        <v>18448572</v>
      </c>
      <c r="J3" s="2" t="b">
        <f>Table1[[#This Row],[Total Sales]]&gt;15000000</f>
        <v>1</v>
      </c>
    </row>
    <row r="4" spans="1:10" x14ac:dyDescent="0.3">
      <c r="A4" s="3" t="s">
        <v>6</v>
      </c>
      <c r="B4" s="1" t="s">
        <v>18</v>
      </c>
      <c r="C4" s="1" t="s">
        <v>19</v>
      </c>
      <c r="D4" s="2">
        <v>2051819</v>
      </c>
      <c r="E4" s="2">
        <v>48955</v>
      </c>
      <c r="F4" s="2">
        <v>599720.83000000007</v>
      </c>
      <c r="G4" s="2">
        <v>6539</v>
      </c>
      <c r="H4" s="2">
        <v>2261035</v>
      </c>
      <c r="I4" s="4">
        <v>27132420</v>
      </c>
      <c r="J4" s="2" t="b">
        <f>Table1[[#This Row],[Total Sales]]&gt;15000000</f>
        <v>1</v>
      </c>
    </row>
    <row r="5" spans="1:10" x14ac:dyDescent="0.3">
      <c r="A5" s="3" t="s">
        <v>6</v>
      </c>
      <c r="B5" s="1" t="s">
        <v>18</v>
      </c>
      <c r="C5" s="1" t="s">
        <v>20</v>
      </c>
      <c r="D5" s="2">
        <v>14508103</v>
      </c>
      <c r="E5" s="2">
        <v>368096</v>
      </c>
      <c r="F5" s="2">
        <v>2782579.2</v>
      </c>
      <c r="G5" s="2">
        <v>43471</v>
      </c>
      <c r="H5" s="2">
        <v>8226588</v>
      </c>
      <c r="I5" s="4">
        <v>144863196.0942888</v>
      </c>
      <c r="J5" s="2" t="b">
        <f>Table1[[#This Row],[Total Sales]]&gt;15000000</f>
        <v>1</v>
      </c>
    </row>
    <row r="6" spans="1:10" x14ac:dyDescent="0.3">
      <c r="A6" s="3" t="s">
        <v>6</v>
      </c>
      <c r="B6" s="1" t="s">
        <v>21</v>
      </c>
      <c r="C6" s="1" t="s">
        <v>22</v>
      </c>
      <c r="D6" s="2">
        <v>4674320</v>
      </c>
      <c r="E6" s="2">
        <v>117364</v>
      </c>
      <c r="F6" s="2">
        <v>999199.90000000014</v>
      </c>
      <c r="G6" s="2">
        <v>11556</v>
      </c>
      <c r="H6" s="2">
        <v>2254055</v>
      </c>
      <c r="I6" s="4">
        <v>14945664.683118152</v>
      </c>
      <c r="J6" s="2" t="b">
        <f>Table1[[#This Row],[Total Sales]]&gt;15000000</f>
        <v>0</v>
      </c>
    </row>
    <row r="7" spans="1:10" x14ac:dyDescent="0.3">
      <c r="A7" s="3" t="s">
        <v>6</v>
      </c>
      <c r="B7" s="1" t="s">
        <v>21</v>
      </c>
      <c r="C7" s="1" t="s">
        <v>23</v>
      </c>
      <c r="D7" s="2">
        <v>6635047</v>
      </c>
      <c r="E7" s="2">
        <v>125356</v>
      </c>
      <c r="F7" s="2">
        <v>1201081.8899999999</v>
      </c>
      <c r="G7" s="2">
        <v>21141</v>
      </c>
      <c r="H7" s="2">
        <v>5822389</v>
      </c>
      <c r="I7" s="4">
        <v>93158224</v>
      </c>
      <c r="J7" s="2" t="b">
        <f>Table1[[#This Row],[Total Sales]]&gt;15000000</f>
        <v>1</v>
      </c>
    </row>
    <row r="8" spans="1:10" x14ac:dyDescent="0.3">
      <c r="A8" s="3" t="s">
        <v>6</v>
      </c>
      <c r="B8" s="1" t="s">
        <v>24</v>
      </c>
      <c r="C8" s="1" t="s">
        <v>25</v>
      </c>
      <c r="D8" s="2">
        <v>2238967</v>
      </c>
      <c r="E8" s="2">
        <v>52953</v>
      </c>
      <c r="F8" s="2">
        <v>497958.62</v>
      </c>
      <c r="G8" s="2">
        <v>4755</v>
      </c>
      <c r="H8" s="2">
        <v>906034</v>
      </c>
      <c r="I8" s="4">
        <v>14496544</v>
      </c>
      <c r="J8" s="2" t="b">
        <f>Table1[[#This Row],[Total Sales]]&gt;15000000</f>
        <v>0</v>
      </c>
    </row>
    <row r="9" spans="1:10" x14ac:dyDescent="0.3">
      <c r="A9" s="3" t="s">
        <v>6</v>
      </c>
      <c r="B9" s="1" t="s">
        <v>24</v>
      </c>
      <c r="C9" s="1" t="s">
        <v>26</v>
      </c>
      <c r="D9" s="2">
        <v>5152346</v>
      </c>
      <c r="E9" s="2">
        <v>156740</v>
      </c>
      <c r="F9" s="2">
        <v>994312.22000000009</v>
      </c>
      <c r="G9" s="2">
        <v>12897</v>
      </c>
      <c r="H9" s="2">
        <v>3276671</v>
      </c>
      <c r="I9" s="4">
        <v>16383355.000000002</v>
      </c>
      <c r="J9" s="2" t="b">
        <f>Table1[[#This Row],[Total Sales]]&gt;15000000</f>
        <v>1</v>
      </c>
    </row>
    <row r="10" spans="1:10" x14ac:dyDescent="0.3">
      <c r="A10" s="3" t="s">
        <v>7</v>
      </c>
      <c r="B10" s="1" t="s">
        <v>17</v>
      </c>
      <c r="C10" s="1" t="s">
        <v>14</v>
      </c>
      <c r="D10" s="2">
        <v>483639</v>
      </c>
      <c r="E10" s="2">
        <v>8653</v>
      </c>
      <c r="F10" s="2">
        <v>128957.25000000001</v>
      </c>
      <c r="G10" s="2">
        <v>2180</v>
      </c>
      <c r="H10" s="2">
        <v>612466</v>
      </c>
      <c r="I10" s="4">
        <v>6533921.0016549909</v>
      </c>
      <c r="J10" s="2" t="b">
        <f>Table1[[#This Row],[Total Sales]]&gt;15000000</f>
        <v>0</v>
      </c>
    </row>
    <row r="11" spans="1:10" x14ac:dyDescent="0.3">
      <c r="A11" s="3" t="s">
        <v>7</v>
      </c>
      <c r="B11" s="1" t="s">
        <v>18</v>
      </c>
      <c r="C11" s="1" t="s">
        <v>20</v>
      </c>
      <c r="D11" s="2">
        <v>10227267</v>
      </c>
      <c r="E11" s="2">
        <v>215344</v>
      </c>
      <c r="F11" s="2">
        <v>1476896.4</v>
      </c>
      <c r="G11" s="2">
        <v>10586</v>
      </c>
      <c r="H11" s="2">
        <v>2212680</v>
      </c>
      <c r="I11" s="4">
        <v>10322526.088041006</v>
      </c>
      <c r="J11" s="2" t="b">
        <f>Table1[[#This Row],[Total Sales]]&gt;15000000</f>
        <v>0</v>
      </c>
    </row>
    <row r="12" spans="1:10" x14ac:dyDescent="0.3">
      <c r="A12" s="3" t="s">
        <v>7</v>
      </c>
      <c r="B12" s="1" t="s">
        <v>24</v>
      </c>
      <c r="C12" s="1" t="s">
        <v>26</v>
      </c>
      <c r="D12" s="2">
        <v>28237</v>
      </c>
      <c r="E12" s="2">
        <v>756</v>
      </c>
      <c r="F12" s="2">
        <v>5679.0599999999995</v>
      </c>
      <c r="G12" s="2">
        <v>99</v>
      </c>
      <c r="H12" s="2">
        <v>23973</v>
      </c>
      <c r="I12" s="4">
        <v>383568</v>
      </c>
      <c r="J12" s="2" t="b">
        <f>Table1[[#This Row],[Total Sales]]&gt;15000000</f>
        <v>0</v>
      </c>
    </row>
    <row r="13" spans="1:10" x14ac:dyDescent="0.3">
      <c r="A13" s="3" t="s">
        <v>8</v>
      </c>
      <c r="B13" s="1" t="s">
        <v>17</v>
      </c>
      <c r="C13" s="1" t="s">
        <v>15</v>
      </c>
      <c r="D13" s="2">
        <v>1122018</v>
      </c>
      <c r="E13" s="2">
        <v>21109</v>
      </c>
      <c r="F13" s="2">
        <v>296185</v>
      </c>
      <c r="G13" s="2">
        <v>817</v>
      </c>
      <c r="H13" s="2">
        <v>185460</v>
      </c>
      <c r="I13" s="4">
        <v>2967360</v>
      </c>
      <c r="J13" s="2" t="b">
        <f>Table1[[#This Row],[Total Sales]]&gt;15000000</f>
        <v>0</v>
      </c>
    </row>
    <row r="14" spans="1:10" x14ac:dyDescent="0.3">
      <c r="A14" s="3" t="s">
        <v>8</v>
      </c>
      <c r="B14" s="1" t="s">
        <v>21</v>
      </c>
      <c r="C14" s="1" t="s">
        <v>23</v>
      </c>
      <c r="D14" s="2">
        <v>2068344</v>
      </c>
      <c r="E14" s="2">
        <v>41674</v>
      </c>
      <c r="F14" s="2">
        <v>596257</v>
      </c>
      <c r="G14" s="2">
        <v>5411</v>
      </c>
      <c r="H14" s="2">
        <v>1306228</v>
      </c>
      <c r="I14" s="4">
        <v>20899648</v>
      </c>
      <c r="J14" s="2" t="b">
        <f>Table1[[#This Row],[Total Sales]]&gt;15000000</f>
        <v>1</v>
      </c>
    </row>
    <row r="15" spans="1:10" x14ac:dyDescent="0.3">
      <c r="A15" s="3" t="s">
        <v>8</v>
      </c>
      <c r="B15" s="1" t="s">
        <v>18</v>
      </c>
      <c r="C15" s="1" t="s">
        <v>20</v>
      </c>
      <c r="D15" s="2">
        <v>6573018</v>
      </c>
      <c r="E15" s="2">
        <v>139711</v>
      </c>
      <c r="F15" s="2">
        <v>1275418.2200000002</v>
      </c>
      <c r="G15" s="2">
        <v>11715</v>
      </c>
      <c r="H15" s="2">
        <v>2395097</v>
      </c>
      <c r="I15" s="4">
        <v>33531358</v>
      </c>
      <c r="J15" s="2" t="b">
        <f>Table1[[#This Row],[Total Sales]]&gt;15000000</f>
        <v>1</v>
      </c>
    </row>
    <row r="16" spans="1:10" x14ac:dyDescent="0.3">
      <c r="A16" s="3" t="s">
        <v>8</v>
      </c>
      <c r="B16" s="1" t="s">
        <v>21</v>
      </c>
      <c r="C16" s="1" t="s">
        <v>22</v>
      </c>
      <c r="D16" s="2">
        <v>1437103</v>
      </c>
      <c r="E16" s="2">
        <v>35633</v>
      </c>
      <c r="F16" s="2">
        <v>397005.6</v>
      </c>
      <c r="G16" s="2">
        <v>5018</v>
      </c>
      <c r="H16" s="2">
        <v>1043886</v>
      </c>
      <c r="I16" s="4">
        <v>5970240.2035512412</v>
      </c>
      <c r="J16" s="2" t="b">
        <f>Table1[[#This Row],[Total Sales]]&gt;15000000</f>
        <v>0</v>
      </c>
    </row>
    <row r="17" spans="1:10" x14ac:dyDescent="0.3">
      <c r="A17" s="3" t="s">
        <v>8</v>
      </c>
      <c r="B17" s="1" t="s">
        <v>24</v>
      </c>
      <c r="C17" s="1" t="s">
        <v>25</v>
      </c>
      <c r="D17" s="2">
        <v>1316567</v>
      </c>
      <c r="E17" s="2">
        <v>26295</v>
      </c>
      <c r="F17" s="2">
        <v>390788.53</v>
      </c>
      <c r="G17" s="2">
        <v>2410</v>
      </c>
      <c r="H17" s="2">
        <v>450610</v>
      </c>
      <c r="I17" s="4">
        <v>6308540.0000000009</v>
      </c>
      <c r="J17" s="2" t="b">
        <f>Table1[[#This Row],[Total Sales]]&gt;15000000</f>
        <v>0</v>
      </c>
    </row>
    <row r="18" spans="1:10" x14ac:dyDescent="0.3">
      <c r="A18" s="3" t="s">
        <v>8</v>
      </c>
      <c r="B18" s="1" t="s">
        <v>18</v>
      </c>
      <c r="C18" s="1" t="s">
        <v>19</v>
      </c>
      <c r="D18" s="2">
        <v>697845</v>
      </c>
      <c r="E18" s="2">
        <v>12888</v>
      </c>
      <c r="F18" s="2">
        <v>195826.74</v>
      </c>
      <c r="G18" s="2">
        <v>1753</v>
      </c>
      <c r="H18" s="2">
        <v>611801</v>
      </c>
      <c r="I18" s="4">
        <v>6729811</v>
      </c>
      <c r="J18" s="2" t="b">
        <f>Table1[[#This Row],[Total Sales]]&gt;15000000</f>
        <v>0</v>
      </c>
    </row>
    <row r="19" spans="1:10" x14ac:dyDescent="0.3">
      <c r="A19" s="3" t="s">
        <v>8</v>
      </c>
      <c r="B19" s="1" t="s">
        <v>24</v>
      </c>
      <c r="C19" s="1" t="s">
        <v>26</v>
      </c>
      <c r="D19" s="2">
        <v>6328100</v>
      </c>
      <c r="E19" s="2">
        <v>104744</v>
      </c>
      <c r="F19" s="2">
        <v>695742.39999999991</v>
      </c>
      <c r="G19" s="2">
        <v>6829</v>
      </c>
      <c r="H19" s="2">
        <v>1715752</v>
      </c>
      <c r="I19" s="4">
        <v>8578760</v>
      </c>
      <c r="J19" s="2" t="b">
        <f>Table1[[#This Row],[Total Sales]]&gt;15000000</f>
        <v>0</v>
      </c>
    </row>
    <row r="20" spans="1:10" x14ac:dyDescent="0.3">
      <c r="A20" s="3" t="s">
        <v>9</v>
      </c>
      <c r="B20" s="1" t="s">
        <v>17</v>
      </c>
      <c r="C20" s="1" t="s">
        <v>15</v>
      </c>
      <c r="D20" s="2">
        <v>2417507</v>
      </c>
      <c r="E20" s="2">
        <v>58951</v>
      </c>
      <c r="F20" s="2">
        <v>242892.96</v>
      </c>
      <c r="G20" s="2">
        <v>2336</v>
      </c>
      <c r="H20" s="2">
        <v>531949</v>
      </c>
      <c r="I20" s="4">
        <v>8511184</v>
      </c>
      <c r="J20" s="2" t="b">
        <f>Table1[[#This Row],[Total Sales]]&gt;15000000</f>
        <v>0</v>
      </c>
    </row>
    <row r="21" spans="1:10" x14ac:dyDescent="0.3">
      <c r="A21" s="3" t="s">
        <v>9</v>
      </c>
      <c r="B21" s="1" t="s">
        <v>17</v>
      </c>
      <c r="C21" s="1" t="s">
        <v>15</v>
      </c>
      <c r="D21" s="2">
        <v>1199120</v>
      </c>
      <c r="E21" s="2">
        <v>26174</v>
      </c>
      <c r="F21" s="2">
        <v>163525.01999999999</v>
      </c>
      <c r="G21" s="2">
        <v>1220</v>
      </c>
      <c r="H21" s="2">
        <v>284335</v>
      </c>
      <c r="I21" s="4">
        <v>3980690</v>
      </c>
      <c r="J21" s="2" t="b">
        <f>Table1[[#This Row],[Total Sales]]&gt;15000000</f>
        <v>0</v>
      </c>
    </row>
    <row r="22" spans="1:10" x14ac:dyDescent="0.3">
      <c r="A22" s="3" t="s">
        <v>7</v>
      </c>
      <c r="B22" s="1" t="s">
        <v>17</v>
      </c>
      <c r="C22" s="1" t="s">
        <v>15</v>
      </c>
      <c r="D22" s="2">
        <v>665137</v>
      </c>
      <c r="E22" s="2">
        <v>12482</v>
      </c>
      <c r="F22" s="2">
        <v>134920.38</v>
      </c>
      <c r="G22" s="2">
        <v>620</v>
      </c>
      <c r="H22" s="2">
        <v>144634</v>
      </c>
      <c r="I22" s="4">
        <v>2169510</v>
      </c>
      <c r="J22" s="2" t="b">
        <f>Table1[[#This Row],[Total Sales]]&gt;15000000</f>
        <v>0</v>
      </c>
    </row>
    <row r="23" spans="1:10" x14ac:dyDescent="0.3">
      <c r="A23" s="3" t="s">
        <v>9</v>
      </c>
      <c r="B23" s="1" t="s">
        <v>21</v>
      </c>
      <c r="C23" s="1" t="s">
        <v>23</v>
      </c>
      <c r="D23" s="2">
        <v>1540506</v>
      </c>
      <c r="E23" s="2">
        <v>51399</v>
      </c>
      <c r="F23" s="2">
        <v>329845.45</v>
      </c>
      <c r="G23" s="2">
        <v>11430</v>
      </c>
      <c r="H23" s="2">
        <v>2923558</v>
      </c>
      <c r="I23" s="4">
        <v>55547602</v>
      </c>
      <c r="J23" s="2" t="b">
        <f>Table1[[#This Row],[Total Sales]]&gt;15000000</f>
        <v>1</v>
      </c>
    </row>
    <row r="24" spans="1:10" x14ac:dyDescent="0.3">
      <c r="A24" s="3" t="s">
        <v>9</v>
      </c>
      <c r="B24" s="1" t="s">
        <v>21</v>
      </c>
      <c r="C24" s="1" t="s">
        <v>23</v>
      </c>
      <c r="D24" s="2">
        <v>2624857</v>
      </c>
      <c r="E24" s="2">
        <v>68419</v>
      </c>
      <c r="F24" s="2">
        <v>549932.18999999994</v>
      </c>
      <c r="G24" s="2">
        <v>7968</v>
      </c>
      <c r="H24" s="2">
        <v>2579210</v>
      </c>
      <c r="I24" s="4">
        <v>38688150</v>
      </c>
      <c r="J24" s="2" t="b">
        <f>Table1[[#This Row],[Total Sales]]&gt;15000000</f>
        <v>1</v>
      </c>
    </row>
    <row r="25" spans="1:10" x14ac:dyDescent="0.3">
      <c r="A25" s="3" t="s">
        <v>7</v>
      </c>
      <c r="B25" s="1" t="s">
        <v>21</v>
      </c>
      <c r="C25" s="1" t="s">
        <v>23</v>
      </c>
      <c r="D25" s="2">
        <v>1041339</v>
      </c>
      <c r="E25" s="2">
        <v>19378</v>
      </c>
      <c r="F25" s="2">
        <v>219947.2</v>
      </c>
      <c r="G25" s="2">
        <v>2545</v>
      </c>
      <c r="H25" s="2">
        <v>778005</v>
      </c>
      <c r="I25" s="4">
        <v>14782095.000000002</v>
      </c>
      <c r="J25" s="2" t="b">
        <f>Table1[[#This Row],[Total Sales]]&gt;15000000</f>
        <v>0</v>
      </c>
    </row>
    <row r="26" spans="1:10" x14ac:dyDescent="0.3">
      <c r="A26" s="3" t="s">
        <v>8</v>
      </c>
      <c r="B26" s="1" t="s">
        <v>17</v>
      </c>
      <c r="C26" s="1" t="s">
        <v>14</v>
      </c>
      <c r="D26" s="2">
        <v>127870</v>
      </c>
      <c r="E26" s="2">
        <v>11791</v>
      </c>
      <c r="F26" s="2">
        <v>89855.93</v>
      </c>
      <c r="G26" s="2">
        <v>8144</v>
      </c>
      <c r="H26" s="2">
        <v>1841168</v>
      </c>
      <c r="I26" s="4">
        <v>29458688</v>
      </c>
      <c r="J26" s="2" t="b">
        <f>Table1[[#This Row],[Total Sales]]&gt;15000000</f>
        <v>1</v>
      </c>
    </row>
    <row r="27" spans="1:10" x14ac:dyDescent="0.3">
      <c r="A27" s="3" t="s">
        <v>9</v>
      </c>
      <c r="B27" s="1" t="s">
        <v>17</v>
      </c>
      <c r="C27" s="1" t="s">
        <v>14</v>
      </c>
      <c r="D27" s="2">
        <v>507775</v>
      </c>
      <c r="E27" s="2">
        <v>11023</v>
      </c>
      <c r="F27" s="2">
        <v>138447.81</v>
      </c>
      <c r="G27" s="2">
        <v>2563</v>
      </c>
      <c r="H27" s="2">
        <v>595299</v>
      </c>
      <c r="I27" s="4">
        <v>11149811.831623279</v>
      </c>
      <c r="J27" s="2" t="b">
        <f>Table1[[#This Row],[Total Sales]]&gt;15000000</f>
        <v>0</v>
      </c>
    </row>
    <row r="28" spans="1:10" x14ac:dyDescent="0.3">
      <c r="A28" s="3" t="s">
        <v>9</v>
      </c>
      <c r="B28" s="1" t="s">
        <v>17</v>
      </c>
      <c r="C28" s="1" t="s">
        <v>14</v>
      </c>
      <c r="D28" s="2">
        <v>295625</v>
      </c>
      <c r="E28" s="2">
        <v>6047</v>
      </c>
      <c r="F28" s="2">
        <v>60006.64</v>
      </c>
      <c r="G28" s="2">
        <v>1457</v>
      </c>
      <c r="H28" s="2">
        <v>360126</v>
      </c>
      <c r="I28" s="4">
        <v>6482268</v>
      </c>
      <c r="J28" s="2" t="b">
        <f>Table1[[#This Row],[Total Sales]]&gt;15000000</f>
        <v>0</v>
      </c>
    </row>
    <row r="29" spans="1:10" x14ac:dyDescent="0.3">
      <c r="A29" s="3" t="s">
        <v>9</v>
      </c>
      <c r="B29" s="1" t="s">
        <v>18</v>
      </c>
      <c r="C29" s="1" t="s">
        <v>20</v>
      </c>
      <c r="D29" s="2">
        <v>6890582</v>
      </c>
      <c r="E29" s="2">
        <v>203144</v>
      </c>
      <c r="F29" s="2">
        <v>824141.97</v>
      </c>
      <c r="G29" s="2">
        <v>18740</v>
      </c>
      <c r="H29" s="2">
        <v>3753569</v>
      </c>
      <c r="I29" s="4">
        <v>27701444.126938459</v>
      </c>
      <c r="J29" s="2" t="b">
        <f>Table1[[#This Row],[Total Sales]]&gt;15000000</f>
        <v>1</v>
      </c>
    </row>
    <row r="30" spans="1:10" x14ac:dyDescent="0.3">
      <c r="A30" s="3" t="s">
        <v>9</v>
      </c>
      <c r="B30" s="1" t="s">
        <v>18</v>
      </c>
      <c r="C30" s="1" t="s">
        <v>20</v>
      </c>
      <c r="D30" s="2">
        <v>13833681</v>
      </c>
      <c r="E30" s="2">
        <v>346634</v>
      </c>
      <c r="F30" s="2">
        <v>2143802.94</v>
      </c>
      <c r="G30" s="2">
        <v>32500</v>
      </c>
      <c r="H30" s="2">
        <v>6530012</v>
      </c>
      <c r="I30" s="4">
        <v>104480192</v>
      </c>
      <c r="J30" s="2" t="b">
        <f>Table1[[#This Row],[Total Sales]]&gt;15000000</f>
        <v>1</v>
      </c>
    </row>
    <row r="31" spans="1:10" x14ac:dyDescent="0.3">
      <c r="A31" s="3" t="s">
        <v>9</v>
      </c>
      <c r="B31" s="1" t="s">
        <v>18</v>
      </c>
      <c r="C31" s="1" t="s">
        <v>20</v>
      </c>
      <c r="D31" s="2">
        <v>1937106</v>
      </c>
      <c r="E31" s="2">
        <v>44914</v>
      </c>
      <c r="F31" s="2">
        <v>327687.58999999997</v>
      </c>
      <c r="G31" s="2">
        <v>4845</v>
      </c>
      <c r="H31" s="2">
        <v>977802</v>
      </c>
      <c r="I31" s="4">
        <v>7822416</v>
      </c>
      <c r="J31" s="2" t="b">
        <f>Table1[[#This Row],[Total Sales]]&gt;15000000</f>
        <v>0</v>
      </c>
    </row>
    <row r="32" spans="1:10" x14ac:dyDescent="0.3">
      <c r="A32" s="3" t="s">
        <v>9</v>
      </c>
      <c r="B32" s="1" t="s">
        <v>21</v>
      </c>
      <c r="C32" s="1" t="s">
        <v>22</v>
      </c>
      <c r="D32" s="2">
        <v>807762</v>
      </c>
      <c r="E32" s="2">
        <v>38285</v>
      </c>
      <c r="F32" s="2">
        <v>149588.14000000001</v>
      </c>
      <c r="G32" s="2">
        <v>5278</v>
      </c>
      <c r="H32" s="2">
        <v>993471</v>
      </c>
      <c r="I32" s="4">
        <v>5960825.9999999991</v>
      </c>
      <c r="J32" s="2" t="b">
        <f>Table1[[#This Row],[Total Sales]]&gt;15000000</f>
        <v>0</v>
      </c>
    </row>
    <row r="33" spans="1:10" x14ac:dyDescent="0.3">
      <c r="A33" s="3" t="s">
        <v>9</v>
      </c>
      <c r="B33" s="1" t="s">
        <v>21</v>
      </c>
      <c r="C33" s="1" t="s">
        <v>22</v>
      </c>
      <c r="D33" s="2">
        <v>1165730</v>
      </c>
      <c r="E33" s="2">
        <v>42695</v>
      </c>
      <c r="F33" s="2">
        <v>249881.26</v>
      </c>
      <c r="G33" s="2">
        <v>6118</v>
      </c>
      <c r="H33" s="2">
        <v>1136842</v>
      </c>
      <c r="I33" s="4">
        <v>18189472</v>
      </c>
      <c r="J33" s="2" t="b">
        <f>Table1[[#This Row],[Total Sales]]&gt;15000000</f>
        <v>1</v>
      </c>
    </row>
    <row r="34" spans="1:10" x14ac:dyDescent="0.3">
      <c r="A34" s="3" t="s">
        <v>9</v>
      </c>
      <c r="B34" s="1" t="s">
        <v>21</v>
      </c>
      <c r="C34" s="1" t="s">
        <v>22</v>
      </c>
      <c r="D34" s="2">
        <v>396203</v>
      </c>
      <c r="E34" s="2">
        <v>13044</v>
      </c>
      <c r="F34" s="2">
        <v>99607.78</v>
      </c>
      <c r="G34" s="2">
        <v>1829</v>
      </c>
      <c r="H34" s="2">
        <v>344932</v>
      </c>
      <c r="I34" s="4">
        <v>5518912</v>
      </c>
      <c r="J34" s="2" t="b">
        <f>Table1[[#This Row],[Total Sales]]&gt;15000000</f>
        <v>0</v>
      </c>
    </row>
    <row r="35" spans="1:10" x14ac:dyDescent="0.3">
      <c r="A35" s="3" t="s">
        <v>9</v>
      </c>
      <c r="B35" s="1" t="s">
        <v>24</v>
      </c>
      <c r="C35" s="1" t="s">
        <v>25</v>
      </c>
      <c r="D35" s="2">
        <v>1047463</v>
      </c>
      <c r="E35" s="2">
        <v>44600</v>
      </c>
      <c r="F35" s="2">
        <v>179873.16</v>
      </c>
      <c r="G35" s="2">
        <v>4548</v>
      </c>
      <c r="H35" s="2">
        <v>893147</v>
      </c>
      <c r="I35" s="4">
        <v>11610911</v>
      </c>
      <c r="J35" s="2" t="b">
        <f>Table1[[#This Row],[Total Sales]]&gt;15000000</f>
        <v>0</v>
      </c>
    </row>
    <row r="36" spans="1:10" x14ac:dyDescent="0.3">
      <c r="A36" s="3" t="s">
        <v>9</v>
      </c>
      <c r="B36" s="1" t="s">
        <v>24</v>
      </c>
      <c r="C36" s="1" t="s">
        <v>25</v>
      </c>
      <c r="D36" s="2">
        <v>1601970</v>
      </c>
      <c r="E36" s="2">
        <v>45029</v>
      </c>
      <c r="F36" s="2">
        <v>299975.94</v>
      </c>
      <c r="G36" s="2">
        <v>4151</v>
      </c>
      <c r="H36" s="2">
        <v>828851</v>
      </c>
      <c r="I36" s="4">
        <v>14919318</v>
      </c>
      <c r="J36" s="2" t="b">
        <f>Table1[[#This Row],[Total Sales]]&gt;15000000</f>
        <v>0</v>
      </c>
    </row>
    <row r="37" spans="1:10" x14ac:dyDescent="0.3">
      <c r="A37" s="3" t="s">
        <v>9</v>
      </c>
      <c r="B37" s="1" t="s">
        <v>24</v>
      </c>
      <c r="C37" s="1" t="s">
        <v>25</v>
      </c>
      <c r="D37" s="2">
        <v>501581</v>
      </c>
      <c r="E37" s="2">
        <v>12420</v>
      </c>
      <c r="F37" s="2">
        <v>119995.2</v>
      </c>
      <c r="G37" s="2">
        <v>1544</v>
      </c>
      <c r="H37" s="2">
        <v>300507</v>
      </c>
      <c r="I37" s="4">
        <v>4507605</v>
      </c>
      <c r="J37" s="2" t="b">
        <f>Table1[[#This Row],[Total Sales]]&gt;15000000</f>
        <v>0</v>
      </c>
    </row>
    <row r="38" spans="1:10" x14ac:dyDescent="0.3">
      <c r="A38" s="3" t="s">
        <v>9</v>
      </c>
      <c r="B38" s="1" t="s">
        <v>18</v>
      </c>
      <c r="C38" s="1" t="s">
        <v>19</v>
      </c>
      <c r="D38" s="2">
        <v>629612</v>
      </c>
      <c r="E38" s="2">
        <v>25435</v>
      </c>
      <c r="F38" s="2">
        <v>179899.03</v>
      </c>
      <c r="G38" s="2">
        <v>2918</v>
      </c>
      <c r="H38" s="2">
        <v>1058094</v>
      </c>
      <c r="I38" s="4">
        <v>16929504</v>
      </c>
      <c r="J38" s="2" t="b">
        <f>Table1[[#This Row],[Total Sales]]&gt;15000000</f>
        <v>1</v>
      </c>
    </row>
    <row r="39" spans="1:10" x14ac:dyDescent="0.3">
      <c r="A39" s="3" t="s">
        <v>9</v>
      </c>
      <c r="B39" s="1" t="s">
        <v>18</v>
      </c>
      <c r="C39" s="1" t="s">
        <v>19</v>
      </c>
      <c r="D39" s="2">
        <v>1182258</v>
      </c>
      <c r="E39" s="2">
        <v>32977</v>
      </c>
      <c r="F39" s="2">
        <v>299782</v>
      </c>
      <c r="G39" s="2">
        <v>2958</v>
      </c>
      <c r="H39" s="2">
        <v>1057640</v>
      </c>
      <c r="I39" s="4">
        <v>4146564.8375508399</v>
      </c>
      <c r="J39" s="2" t="b">
        <f>Table1[[#This Row],[Total Sales]]&gt;15000000</f>
        <v>0</v>
      </c>
    </row>
    <row r="40" spans="1:10" x14ac:dyDescent="0.3">
      <c r="A40" s="3" t="s">
        <v>9</v>
      </c>
      <c r="B40" s="1" t="s">
        <v>18</v>
      </c>
      <c r="C40" s="1" t="s">
        <v>19</v>
      </c>
      <c r="D40" s="2">
        <v>422936</v>
      </c>
      <c r="E40" s="2">
        <v>9876</v>
      </c>
      <c r="F40" s="2">
        <v>119818.55</v>
      </c>
      <c r="G40" s="2">
        <v>832</v>
      </c>
      <c r="H40" s="2">
        <v>307755</v>
      </c>
      <c r="I40" s="4">
        <v>5231835.0000000009</v>
      </c>
      <c r="J40" s="2" t="b">
        <f>Table1[[#This Row],[Total Sales]]&gt;15000000</f>
        <v>0</v>
      </c>
    </row>
    <row r="41" spans="1:10" x14ac:dyDescent="0.3">
      <c r="A41" s="3" t="s">
        <v>9</v>
      </c>
      <c r="B41" s="1" t="s">
        <v>24</v>
      </c>
      <c r="C41" s="1" t="s">
        <v>26</v>
      </c>
      <c r="D41" s="2">
        <v>1235885</v>
      </c>
      <c r="E41" s="2">
        <v>53357</v>
      </c>
      <c r="F41" s="2">
        <v>419504.45</v>
      </c>
      <c r="G41" s="2">
        <v>7050</v>
      </c>
      <c r="H41" s="2">
        <v>1787195</v>
      </c>
      <c r="I41" s="4">
        <v>23233535</v>
      </c>
      <c r="J41" s="2" t="b">
        <f>Table1[[#This Row],[Total Sales]]&gt;15000000</f>
        <v>1</v>
      </c>
    </row>
    <row r="42" spans="1:10" x14ac:dyDescent="0.3">
      <c r="A42" s="3" t="s">
        <v>9</v>
      </c>
      <c r="B42" s="1" t="s">
        <v>24</v>
      </c>
      <c r="C42" s="1" t="s">
        <v>26</v>
      </c>
      <c r="D42" s="2">
        <v>2181069</v>
      </c>
      <c r="E42" s="2">
        <v>77966</v>
      </c>
      <c r="F42" s="2">
        <v>699708.26</v>
      </c>
      <c r="G42" s="2">
        <v>6944</v>
      </c>
      <c r="H42" s="2">
        <v>1762842</v>
      </c>
      <c r="I42" s="4">
        <v>22916946.000000004</v>
      </c>
      <c r="J42" s="2" t="b">
        <f>Table1[[#This Row],[Total Sales]]&gt;15000000</f>
        <v>1</v>
      </c>
    </row>
    <row r="43" spans="1:10" x14ac:dyDescent="0.3">
      <c r="A43" s="3" t="s">
        <v>9</v>
      </c>
      <c r="B43" s="1" t="s">
        <v>24</v>
      </c>
      <c r="C43" s="1" t="s">
        <v>26</v>
      </c>
      <c r="D43" s="2">
        <v>802369</v>
      </c>
      <c r="E43" s="2">
        <v>23779</v>
      </c>
      <c r="F43" s="2">
        <v>279243.05</v>
      </c>
      <c r="G43" s="2">
        <v>1582</v>
      </c>
      <c r="H43" s="2">
        <v>398568</v>
      </c>
      <c r="I43" s="4">
        <v>7572792</v>
      </c>
      <c r="J43" s="2" t="b">
        <f>Table1[[#This Row],[Total Sales]]&gt;15000000</f>
        <v>0</v>
      </c>
    </row>
    <row r="44" spans="1:10" x14ac:dyDescent="0.3">
      <c r="A44" s="3" t="s">
        <v>10</v>
      </c>
      <c r="B44" s="1" t="s">
        <v>17</v>
      </c>
      <c r="C44" s="1" t="s">
        <v>15</v>
      </c>
      <c r="D44" s="2">
        <v>1895975</v>
      </c>
      <c r="E44" s="2">
        <v>46637</v>
      </c>
      <c r="F44" s="2">
        <v>255773.26</v>
      </c>
      <c r="G44" s="2">
        <v>2829</v>
      </c>
      <c r="H44" s="2">
        <v>656285</v>
      </c>
      <c r="I44" s="4">
        <v>9187990</v>
      </c>
      <c r="J44" s="2" t="b">
        <f>Table1[[#This Row],[Total Sales]]&gt;15000000</f>
        <v>0</v>
      </c>
    </row>
    <row r="45" spans="1:10" x14ac:dyDescent="0.3">
      <c r="A45" s="3" t="s">
        <v>10</v>
      </c>
      <c r="B45" s="1" t="s">
        <v>17</v>
      </c>
      <c r="C45" s="1" t="s">
        <v>15</v>
      </c>
      <c r="D45" s="2">
        <v>609012</v>
      </c>
      <c r="E45" s="2">
        <v>12456</v>
      </c>
      <c r="F45" s="2">
        <v>136163.41</v>
      </c>
      <c r="G45" s="2">
        <v>711</v>
      </c>
      <c r="H45" s="2">
        <v>175026</v>
      </c>
      <c r="I45" s="4">
        <v>2275338</v>
      </c>
      <c r="J45" s="2" t="b">
        <f>Table1[[#This Row],[Total Sales]]&gt;15000000</f>
        <v>0</v>
      </c>
    </row>
    <row r="46" spans="1:10" x14ac:dyDescent="0.3">
      <c r="A46" s="3" t="s">
        <v>10</v>
      </c>
      <c r="B46" s="1" t="s">
        <v>17</v>
      </c>
      <c r="C46" s="1" t="s">
        <v>15</v>
      </c>
      <c r="D46" s="2">
        <v>2017605</v>
      </c>
      <c r="E46" s="2">
        <v>54075</v>
      </c>
      <c r="F46" s="2">
        <v>246456.08</v>
      </c>
      <c r="G46" s="2">
        <v>3707</v>
      </c>
      <c r="H46" s="2">
        <v>811972</v>
      </c>
      <c r="I46" s="4">
        <v>2508495.217147226</v>
      </c>
      <c r="J46" s="2" t="b">
        <f>Table1[[#This Row],[Total Sales]]&gt;15000000</f>
        <v>0</v>
      </c>
    </row>
    <row r="47" spans="1:10" x14ac:dyDescent="0.3">
      <c r="A47" s="3" t="s">
        <v>10</v>
      </c>
      <c r="B47" s="1" t="s">
        <v>21</v>
      </c>
      <c r="C47" s="1" t="s">
        <v>23</v>
      </c>
      <c r="D47" s="2">
        <v>1306925</v>
      </c>
      <c r="E47" s="2">
        <v>49308</v>
      </c>
      <c r="F47" s="2">
        <v>499975.17</v>
      </c>
      <c r="G47" s="2">
        <v>13055</v>
      </c>
      <c r="H47" s="2">
        <v>3682574</v>
      </c>
      <c r="I47" s="4">
        <v>44190888</v>
      </c>
      <c r="J47" s="2" t="b">
        <f>Table1[[#This Row],[Total Sales]]&gt;15000000</f>
        <v>1</v>
      </c>
    </row>
    <row r="48" spans="1:10" x14ac:dyDescent="0.3">
      <c r="A48" s="3" t="s">
        <v>7</v>
      </c>
      <c r="B48" s="1" t="s">
        <v>21</v>
      </c>
      <c r="C48" s="1" t="s">
        <v>23</v>
      </c>
      <c r="D48" s="2">
        <v>1217560</v>
      </c>
      <c r="E48" s="2">
        <v>33651</v>
      </c>
      <c r="F48" s="2">
        <v>354673.06</v>
      </c>
      <c r="G48" s="2">
        <v>6752</v>
      </c>
      <c r="H48" s="2">
        <v>1724782</v>
      </c>
      <c r="I48" s="4">
        <v>20697384</v>
      </c>
      <c r="J48" s="2" t="b">
        <f>Table1[[#This Row],[Total Sales]]&gt;15000000</f>
        <v>1</v>
      </c>
    </row>
    <row r="49" spans="1:10" x14ac:dyDescent="0.3">
      <c r="A49" s="3" t="s">
        <v>10</v>
      </c>
      <c r="B49" s="1" t="s">
        <v>21</v>
      </c>
      <c r="C49" s="1" t="s">
        <v>23</v>
      </c>
      <c r="D49" s="2">
        <v>1501053</v>
      </c>
      <c r="E49" s="2">
        <v>44484</v>
      </c>
      <c r="F49" s="2">
        <v>464766.31</v>
      </c>
      <c r="G49" s="2">
        <v>9170</v>
      </c>
      <c r="H49" s="2">
        <v>2435281</v>
      </c>
      <c r="I49" s="4">
        <v>41399777</v>
      </c>
      <c r="J49" s="2" t="b">
        <f>Table1[[#This Row],[Total Sales]]&gt;15000000</f>
        <v>1</v>
      </c>
    </row>
    <row r="50" spans="1:10" x14ac:dyDescent="0.3">
      <c r="A50" s="3" t="s">
        <v>8</v>
      </c>
      <c r="B50" s="1" t="s">
        <v>17</v>
      </c>
      <c r="C50" s="1" t="s">
        <v>14</v>
      </c>
      <c r="D50" s="2">
        <v>307443</v>
      </c>
      <c r="E50" s="2">
        <v>12891</v>
      </c>
      <c r="F50" s="2">
        <v>99990.81</v>
      </c>
      <c r="G50" s="2">
        <v>2117</v>
      </c>
      <c r="H50" s="2">
        <v>518517</v>
      </c>
      <c r="I50" s="4">
        <v>8296272</v>
      </c>
      <c r="J50" s="2" t="b">
        <f>Table1[[#This Row],[Total Sales]]&gt;15000000</f>
        <v>0</v>
      </c>
    </row>
    <row r="51" spans="1:10" x14ac:dyDescent="0.3">
      <c r="A51" s="3" t="s">
        <v>10</v>
      </c>
      <c r="B51" s="1" t="s">
        <v>17</v>
      </c>
      <c r="C51" s="1" t="s">
        <v>14</v>
      </c>
      <c r="D51" s="2">
        <v>447098</v>
      </c>
      <c r="E51" s="2">
        <v>10104</v>
      </c>
      <c r="F51" s="2">
        <v>80010.240000000005</v>
      </c>
      <c r="G51" s="2">
        <v>1098</v>
      </c>
      <c r="H51" s="2">
        <v>294238</v>
      </c>
      <c r="I51" s="4">
        <v>5906142.2541116169</v>
      </c>
      <c r="J51" s="2" t="b">
        <f>Table1[[#This Row],[Total Sales]]&gt;15000000</f>
        <v>0</v>
      </c>
    </row>
    <row r="52" spans="1:10" x14ac:dyDescent="0.3">
      <c r="A52" s="3" t="s">
        <v>10</v>
      </c>
      <c r="B52" s="1" t="s">
        <v>17</v>
      </c>
      <c r="C52" s="1" t="s">
        <v>14</v>
      </c>
      <c r="D52" s="2">
        <v>749478</v>
      </c>
      <c r="E52" s="2">
        <v>16370</v>
      </c>
      <c r="F52" s="2">
        <v>149978.65</v>
      </c>
      <c r="G52" s="2">
        <v>1662</v>
      </c>
      <c r="H52" s="2">
        <v>424677</v>
      </c>
      <c r="I52" s="4">
        <v>4246770</v>
      </c>
      <c r="J52" s="2" t="b">
        <f>Table1[[#This Row],[Total Sales]]&gt;15000000</f>
        <v>0</v>
      </c>
    </row>
    <row r="53" spans="1:10" x14ac:dyDescent="0.3">
      <c r="A53" s="3" t="s">
        <v>10</v>
      </c>
      <c r="B53" s="1" t="s">
        <v>18</v>
      </c>
      <c r="C53" s="1" t="s">
        <v>20</v>
      </c>
      <c r="D53" s="2">
        <v>9822740</v>
      </c>
      <c r="E53" s="2">
        <v>292168</v>
      </c>
      <c r="F53" s="2">
        <v>1284748.23</v>
      </c>
      <c r="G53" s="2">
        <v>20045</v>
      </c>
      <c r="H53" s="2">
        <v>4008537</v>
      </c>
      <c r="I53" s="4">
        <v>48102444</v>
      </c>
      <c r="J53" s="2" t="b">
        <f>Table1[[#This Row],[Total Sales]]&gt;15000000</f>
        <v>1</v>
      </c>
    </row>
    <row r="54" spans="1:10" x14ac:dyDescent="0.3">
      <c r="A54" s="3" t="s">
        <v>10</v>
      </c>
      <c r="B54" s="1" t="s">
        <v>18</v>
      </c>
      <c r="C54" s="1" t="s">
        <v>20</v>
      </c>
      <c r="D54" s="2">
        <v>6303669</v>
      </c>
      <c r="E54" s="2">
        <v>135973</v>
      </c>
      <c r="F54" s="2">
        <v>943359.5299999998</v>
      </c>
      <c r="G54" s="2">
        <v>15234</v>
      </c>
      <c r="H54" s="2">
        <v>2860186</v>
      </c>
      <c r="I54" s="4">
        <v>34322232</v>
      </c>
      <c r="J54" s="2" t="b">
        <f>Table1[[#This Row],[Total Sales]]&gt;15000000</f>
        <v>1</v>
      </c>
    </row>
    <row r="55" spans="1:10" x14ac:dyDescent="0.3">
      <c r="A55" s="3" t="s">
        <v>10</v>
      </c>
      <c r="B55" s="1" t="s">
        <v>18</v>
      </c>
      <c r="C55" s="1" t="s">
        <v>20</v>
      </c>
      <c r="D55" s="2">
        <v>17359807</v>
      </c>
      <c r="E55" s="2">
        <v>446319</v>
      </c>
      <c r="F55" s="2">
        <v>2602779.46</v>
      </c>
      <c r="G55" s="2">
        <v>32077</v>
      </c>
      <c r="H55" s="2">
        <v>6344246</v>
      </c>
      <c r="I55" s="4">
        <v>101507936</v>
      </c>
      <c r="J55" s="2" t="b">
        <f>Table1[[#This Row],[Total Sales]]&gt;15000000</f>
        <v>1</v>
      </c>
    </row>
    <row r="56" spans="1:10" x14ac:dyDescent="0.3">
      <c r="A56" s="3" t="s">
        <v>10</v>
      </c>
      <c r="B56" s="1" t="s">
        <v>21</v>
      </c>
      <c r="C56" s="1" t="s">
        <v>22</v>
      </c>
      <c r="D56" s="2">
        <v>2721050</v>
      </c>
      <c r="E56" s="2">
        <v>87577</v>
      </c>
      <c r="F56" s="2">
        <v>702909.5</v>
      </c>
      <c r="G56" s="2">
        <v>7997</v>
      </c>
      <c r="H56" s="2">
        <v>1628317</v>
      </c>
      <c r="I56" s="4">
        <v>21168121.000000004</v>
      </c>
      <c r="J56" s="2" t="b">
        <f>Table1[[#This Row],[Total Sales]]&gt;15000000</f>
        <v>1</v>
      </c>
    </row>
    <row r="57" spans="1:10" x14ac:dyDescent="0.3">
      <c r="A57" s="3" t="s">
        <v>7</v>
      </c>
      <c r="B57" s="1" t="s">
        <v>21</v>
      </c>
      <c r="C57" s="1" t="s">
        <v>22</v>
      </c>
      <c r="D57" s="2">
        <v>2293487</v>
      </c>
      <c r="E57" s="2">
        <v>56121</v>
      </c>
      <c r="F57" s="2">
        <v>567680.43999999994</v>
      </c>
      <c r="G57" s="2">
        <v>5763</v>
      </c>
      <c r="H57" s="2">
        <v>1144136</v>
      </c>
      <c r="I57" s="4">
        <v>19776314.29481085</v>
      </c>
      <c r="J57" s="2" t="b">
        <f>Table1[[#This Row],[Total Sales]]&gt;15000000</f>
        <v>1</v>
      </c>
    </row>
    <row r="58" spans="1:10" x14ac:dyDescent="0.3">
      <c r="A58" s="3" t="s">
        <v>10</v>
      </c>
      <c r="B58" s="1" t="s">
        <v>21</v>
      </c>
      <c r="C58" s="1" t="s">
        <v>22</v>
      </c>
      <c r="D58" s="2">
        <v>3578416</v>
      </c>
      <c r="E58" s="2">
        <v>102241</v>
      </c>
      <c r="F58" s="2">
        <v>890105.77</v>
      </c>
      <c r="G58" s="2">
        <v>9326</v>
      </c>
      <c r="H58" s="2">
        <v>1886399</v>
      </c>
      <c r="I58" s="4">
        <v>18863990.000000004</v>
      </c>
      <c r="J58" s="2" t="b">
        <f>Table1[[#This Row],[Total Sales]]&gt;15000000</f>
        <v>1</v>
      </c>
    </row>
    <row r="59" spans="1:10" x14ac:dyDescent="0.3">
      <c r="A59" s="3" t="s">
        <v>10</v>
      </c>
      <c r="B59" s="1" t="s">
        <v>24</v>
      </c>
      <c r="C59" s="1" t="s">
        <v>25</v>
      </c>
      <c r="D59" s="2">
        <v>952159</v>
      </c>
      <c r="E59" s="2">
        <v>38636</v>
      </c>
      <c r="F59" s="2">
        <v>217989.73</v>
      </c>
      <c r="G59" s="2">
        <v>3325</v>
      </c>
      <c r="H59" s="2">
        <v>723630</v>
      </c>
      <c r="I59" s="4">
        <v>7236300</v>
      </c>
      <c r="J59" s="2" t="b">
        <f>Table1[[#This Row],[Total Sales]]&gt;15000000</f>
        <v>0</v>
      </c>
    </row>
    <row r="60" spans="1:10" x14ac:dyDescent="0.3">
      <c r="A60" s="3" t="s">
        <v>10</v>
      </c>
      <c r="B60" s="1" t="s">
        <v>24</v>
      </c>
      <c r="C60" s="1" t="s">
        <v>25</v>
      </c>
      <c r="D60" s="2">
        <v>546861</v>
      </c>
      <c r="E60" s="2">
        <v>13211</v>
      </c>
      <c r="F60" s="2">
        <v>112020.16</v>
      </c>
      <c r="G60" s="2">
        <v>969</v>
      </c>
      <c r="H60" s="2">
        <v>205762</v>
      </c>
      <c r="I60" s="4">
        <v>2057620</v>
      </c>
      <c r="J60" s="2" t="b">
        <f>Table1[[#This Row],[Total Sales]]&gt;15000000</f>
        <v>0</v>
      </c>
    </row>
    <row r="61" spans="1:10" x14ac:dyDescent="0.3">
      <c r="A61" s="3" t="s">
        <v>10</v>
      </c>
      <c r="B61" s="1" t="s">
        <v>24</v>
      </c>
      <c r="C61" s="1" t="s">
        <v>25</v>
      </c>
      <c r="D61" s="2">
        <v>1235879</v>
      </c>
      <c r="E61" s="2">
        <v>33768</v>
      </c>
      <c r="F61" s="2">
        <v>279890.58</v>
      </c>
      <c r="G61" s="2">
        <v>2156</v>
      </c>
      <c r="H61" s="2">
        <v>457429</v>
      </c>
      <c r="I61" s="4">
        <v>3659432</v>
      </c>
      <c r="J61" s="2" t="b">
        <f>Table1[[#This Row],[Total Sales]]&gt;15000000</f>
        <v>0</v>
      </c>
    </row>
    <row r="62" spans="1:10" x14ac:dyDescent="0.3">
      <c r="A62" s="3" t="s">
        <v>10</v>
      </c>
      <c r="B62" s="1" t="s">
        <v>18</v>
      </c>
      <c r="C62" s="1" t="s">
        <v>19</v>
      </c>
      <c r="D62" s="2">
        <v>1307420</v>
      </c>
      <c r="E62" s="2">
        <v>52746</v>
      </c>
      <c r="F62" s="2">
        <v>370119.8</v>
      </c>
      <c r="G62" s="2">
        <v>6815</v>
      </c>
      <c r="H62" s="2">
        <v>2354660</v>
      </c>
      <c r="I62" s="4">
        <v>30610580</v>
      </c>
      <c r="J62" s="2" t="b">
        <f>Table1[[#This Row],[Total Sales]]&gt;15000000</f>
        <v>1</v>
      </c>
    </row>
    <row r="63" spans="1:10" x14ac:dyDescent="0.3">
      <c r="A63" s="3" t="s">
        <v>7</v>
      </c>
      <c r="B63" s="1" t="s">
        <v>18</v>
      </c>
      <c r="C63" s="1" t="s">
        <v>19</v>
      </c>
      <c r="D63" s="2">
        <v>572616</v>
      </c>
      <c r="E63" s="2">
        <v>16123</v>
      </c>
      <c r="F63" s="2">
        <v>176050.11</v>
      </c>
      <c r="G63" s="2">
        <v>1509</v>
      </c>
      <c r="H63" s="2">
        <v>574113</v>
      </c>
      <c r="I63" s="4">
        <v>7463469</v>
      </c>
      <c r="J63" s="2" t="b">
        <f>Table1[[#This Row],[Total Sales]]&gt;15000000</f>
        <v>0</v>
      </c>
    </row>
    <row r="64" spans="1:10" x14ac:dyDescent="0.3">
      <c r="A64" s="3" t="s">
        <v>10</v>
      </c>
      <c r="B64" s="1" t="s">
        <v>18</v>
      </c>
      <c r="C64" s="1" t="s">
        <v>19</v>
      </c>
      <c r="D64" s="2">
        <v>1143398</v>
      </c>
      <c r="E64" s="2">
        <v>38095</v>
      </c>
      <c r="F64" s="2">
        <v>340070.92</v>
      </c>
      <c r="G64" s="2">
        <v>3084</v>
      </c>
      <c r="H64" s="2">
        <v>1134062</v>
      </c>
      <c r="I64" s="4">
        <v>14742806</v>
      </c>
      <c r="J64" s="2" t="b">
        <f>Table1[[#This Row],[Total Sales]]&gt;15000000</f>
        <v>0</v>
      </c>
    </row>
    <row r="65" spans="1:10" x14ac:dyDescent="0.3">
      <c r="A65" s="3" t="s">
        <v>10</v>
      </c>
      <c r="B65" s="1" t="s">
        <v>24</v>
      </c>
      <c r="C65" s="1" t="s">
        <v>26</v>
      </c>
      <c r="D65" s="2">
        <v>856649</v>
      </c>
      <c r="E65" s="2">
        <v>42045</v>
      </c>
      <c r="F65" s="2">
        <v>392246.59</v>
      </c>
      <c r="G65" s="2">
        <v>10086</v>
      </c>
      <c r="H65" s="2">
        <v>2506440</v>
      </c>
      <c r="I65" s="4">
        <v>32583720</v>
      </c>
      <c r="J65" s="2" t="b">
        <f>Table1[[#This Row],[Total Sales]]&gt;15000000</f>
        <v>1</v>
      </c>
    </row>
    <row r="66" spans="1:10" x14ac:dyDescent="0.3">
      <c r="A66" s="3" t="s">
        <v>10</v>
      </c>
      <c r="B66" s="1" t="s">
        <v>24</v>
      </c>
      <c r="C66" s="1" t="s">
        <v>26</v>
      </c>
      <c r="D66" s="2">
        <v>1211108</v>
      </c>
      <c r="E66" s="2">
        <v>31018</v>
      </c>
      <c r="F66" s="2">
        <v>373357.92</v>
      </c>
      <c r="G66" s="2">
        <v>4527</v>
      </c>
      <c r="H66" s="2">
        <v>1084264</v>
      </c>
      <c r="I66" s="4">
        <v>18905430.359759443</v>
      </c>
      <c r="J66" s="2" t="b">
        <f>Table1[[#This Row],[Total Sales]]&gt;15000000</f>
        <v>1</v>
      </c>
    </row>
    <row r="67" spans="1:10" x14ac:dyDescent="0.3">
      <c r="A67" s="3" t="s">
        <v>10</v>
      </c>
      <c r="B67" s="1" t="s">
        <v>24</v>
      </c>
      <c r="C67" s="1" t="s">
        <v>26</v>
      </c>
      <c r="D67" s="2">
        <v>1400663</v>
      </c>
      <c r="E67" s="2">
        <v>47708</v>
      </c>
      <c r="F67" s="2">
        <v>419772.32</v>
      </c>
      <c r="G67" s="2">
        <v>6384</v>
      </c>
      <c r="H67" s="2">
        <v>1587353</v>
      </c>
      <c r="I67" s="4">
        <v>20635589</v>
      </c>
      <c r="J67" s="2" t="b">
        <f>Table1[[#This Row],[Total Sales]]&gt;15000000</f>
        <v>1</v>
      </c>
    </row>
    <row r="68" spans="1:10" x14ac:dyDescent="0.3">
      <c r="A68" s="3" t="s">
        <v>11</v>
      </c>
      <c r="B68" s="1" t="s">
        <v>17</v>
      </c>
      <c r="C68" s="1" t="s">
        <v>15</v>
      </c>
      <c r="D68" s="2">
        <v>1463088</v>
      </c>
      <c r="E68" s="2">
        <v>33333</v>
      </c>
      <c r="F68" s="2">
        <v>202747.18</v>
      </c>
      <c r="G68" s="2">
        <v>2035</v>
      </c>
      <c r="H68" s="2">
        <v>415310</v>
      </c>
      <c r="I68" s="4">
        <v>7169196.8327879058</v>
      </c>
      <c r="J68" s="2" t="b">
        <f>Table1[[#This Row],[Total Sales]]&gt;15000000</f>
        <v>0</v>
      </c>
    </row>
    <row r="69" spans="1:10" x14ac:dyDescent="0.3">
      <c r="A69" s="3" t="s">
        <v>7</v>
      </c>
      <c r="B69" s="1" t="s">
        <v>17</v>
      </c>
      <c r="C69" s="1" t="s">
        <v>15</v>
      </c>
      <c r="D69" s="2">
        <v>1418328</v>
      </c>
      <c r="E69" s="2">
        <v>23837</v>
      </c>
      <c r="F69" s="2">
        <v>215166.84</v>
      </c>
      <c r="G69" s="2">
        <v>1418</v>
      </c>
      <c r="H69" s="2">
        <v>323655</v>
      </c>
      <c r="I69" s="4">
        <v>2589240</v>
      </c>
      <c r="J69" s="2" t="b">
        <f>Table1[[#This Row],[Total Sales]]&gt;15000000</f>
        <v>0</v>
      </c>
    </row>
    <row r="70" spans="1:10" x14ac:dyDescent="0.3">
      <c r="A70" s="3" t="s">
        <v>11</v>
      </c>
      <c r="B70" s="1" t="s">
        <v>17</v>
      </c>
      <c r="C70" s="1" t="s">
        <v>15</v>
      </c>
      <c r="D70" s="2">
        <v>2304559</v>
      </c>
      <c r="E70" s="2">
        <v>46256</v>
      </c>
      <c r="F70" s="2">
        <v>310025.86</v>
      </c>
      <c r="G70" s="2">
        <v>2856</v>
      </c>
      <c r="H70" s="2">
        <v>613727</v>
      </c>
      <c r="I70" s="4">
        <v>6137270</v>
      </c>
      <c r="J70" s="2" t="b">
        <f>Table1[[#This Row],[Total Sales]]&gt;15000000</f>
        <v>0</v>
      </c>
    </row>
    <row r="71" spans="1:10" x14ac:dyDescent="0.3">
      <c r="A71" s="3" t="s">
        <v>11</v>
      </c>
      <c r="B71" s="1" t="s">
        <v>21</v>
      </c>
      <c r="C71" s="1" t="s">
        <v>23</v>
      </c>
      <c r="D71" s="2">
        <v>1618457</v>
      </c>
      <c r="E71" s="2">
        <v>47890</v>
      </c>
      <c r="F71" s="2">
        <v>386910.19</v>
      </c>
      <c r="G71" s="2">
        <v>10288</v>
      </c>
      <c r="H71" s="2">
        <v>3118238</v>
      </c>
      <c r="I71" s="4">
        <v>31182380</v>
      </c>
      <c r="J71" s="2" t="b">
        <f>Table1[[#This Row],[Total Sales]]&gt;15000000</f>
        <v>1</v>
      </c>
    </row>
    <row r="72" spans="1:10" x14ac:dyDescent="0.3">
      <c r="A72" s="3" t="s">
        <v>11</v>
      </c>
      <c r="B72" s="1" t="s">
        <v>21</v>
      </c>
      <c r="C72" s="1" t="s">
        <v>23</v>
      </c>
      <c r="D72" s="2">
        <v>1565718</v>
      </c>
      <c r="E72" s="2">
        <v>35397</v>
      </c>
      <c r="F72" s="2">
        <v>340403.22</v>
      </c>
      <c r="G72" s="2">
        <v>5427</v>
      </c>
      <c r="H72" s="2">
        <v>1601693</v>
      </c>
      <c r="I72" s="4">
        <v>12813544</v>
      </c>
      <c r="J72" s="2" t="b">
        <f>Table1[[#This Row],[Total Sales]]&gt;15000000</f>
        <v>0</v>
      </c>
    </row>
    <row r="73" spans="1:10" x14ac:dyDescent="0.3">
      <c r="A73" s="3" t="s">
        <v>11</v>
      </c>
      <c r="B73" s="1" t="s">
        <v>21</v>
      </c>
      <c r="C73" s="1" t="s">
        <v>23</v>
      </c>
      <c r="D73" s="2">
        <v>1670949</v>
      </c>
      <c r="E73" s="2">
        <v>42956</v>
      </c>
      <c r="F73" s="2">
        <v>431426.56</v>
      </c>
      <c r="G73" s="2">
        <v>6742</v>
      </c>
      <c r="H73" s="2">
        <v>2048517</v>
      </c>
      <c r="I73" s="4">
        <v>13933733.040346371</v>
      </c>
      <c r="J73" s="2" t="b">
        <f>Table1[[#This Row],[Total Sales]]&gt;15000000</f>
        <v>0</v>
      </c>
    </row>
    <row r="74" spans="1:10" x14ac:dyDescent="0.3">
      <c r="A74" s="3" t="s">
        <v>11</v>
      </c>
      <c r="B74" s="1" t="s">
        <v>17</v>
      </c>
      <c r="C74" s="1" t="s">
        <v>14</v>
      </c>
      <c r="D74" s="2">
        <v>405647</v>
      </c>
      <c r="E74" s="2">
        <v>10818</v>
      </c>
      <c r="F74" s="2">
        <v>60024.66</v>
      </c>
      <c r="G74" s="2">
        <v>2000</v>
      </c>
      <c r="H74" s="2">
        <v>474222</v>
      </c>
      <c r="I74" s="4">
        <v>6164886</v>
      </c>
      <c r="J74" s="2" t="b">
        <f>Table1[[#This Row],[Total Sales]]&gt;15000000</f>
        <v>0</v>
      </c>
    </row>
    <row r="75" spans="1:10" x14ac:dyDescent="0.3">
      <c r="A75" s="3" t="s">
        <v>11</v>
      </c>
      <c r="B75" s="1" t="s">
        <v>17</v>
      </c>
      <c r="C75" s="1" t="s">
        <v>14</v>
      </c>
      <c r="D75" s="2">
        <v>499399</v>
      </c>
      <c r="E75" s="2">
        <v>9512</v>
      </c>
      <c r="F75" s="2">
        <v>55017.73</v>
      </c>
      <c r="G75" s="2">
        <v>1171</v>
      </c>
      <c r="H75" s="2">
        <v>276402</v>
      </c>
      <c r="I75" s="4">
        <v>2764020</v>
      </c>
      <c r="J75" s="2" t="b">
        <f>Table1[[#This Row],[Total Sales]]&gt;15000000</f>
        <v>0</v>
      </c>
    </row>
    <row r="76" spans="1:10" x14ac:dyDescent="0.3">
      <c r="A76" s="3" t="s">
        <v>11</v>
      </c>
      <c r="B76" s="1" t="s">
        <v>17</v>
      </c>
      <c r="C76" s="1" t="s">
        <v>14</v>
      </c>
      <c r="D76" s="2">
        <v>501598</v>
      </c>
      <c r="E76" s="2">
        <v>9658</v>
      </c>
      <c r="F76" s="2">
        <v>55053.919999999998</v>
      </c>
      <c r="G76" s="2">
        <v>1115</v>
      </c>
      <c r="H76" s="2">
        <v>273989</v>
      </c>
      <c r="I76" s="4">
        <v>2191912</v>
      </c>
      <c r="J76" s="2" t="b">
        <f>Table1[[#This Row],[Total Sales]]&gt;15000000</f>
        <v>0</v>
      </c>
    </row>
    <row r="77" spans="1:10" x14ac:dyDescent="0.3">
      <c r="A77" s="3" t="s">
        <v>11</v>
      </c>
      <c r="B77" s="1" t="s">
        <v>18</v>
      </c>
      <c r="C77" s="1" t="s">
        <v>20</v>
      </c>
      <c r="D77" s="2">
        <v>12603603</v>
      </c>
      <c r="E77" s="2">
        <v>317998</v>
      </c>
      <c r="F77" s="2">
        <v>1263032.8900000001</v>
      </c>
      <c r="G77" s="2">
        <v>19879</v>
      </c>
      <c r="H77" s="2">
        <v>4166025</v>
      </c>
      <c r="I77" s="4">
        <v>49992300</v>
      </c>
      <c r="J77" s="2" t="b">
        <f>Table1[[#This Row],[Total Sales]]&gt;15000000</f>
        <v>1</v>
      </c>
    </row>
    <row r="78" spans="1:10" x14ac:dyDescent="0.3">
      <c r="A78" s="3" t="s">
        <v>11</v>
      </c>
      <c r="B78" s="1" t="s">
        <v>18</v>
      </c>
      <c r="C78" s="1" t="s">
        <v>20</v>
      </c>
      <c r="D78" s="2">
        <v>7571046</v>
      </c>
      <c r="E78" s="2">
        <v>159961</v>
      </c>
      <c r="F78" s="2">
        <v>1056357.6599999999</v>
      </c>
      <c r="G78" s="2">
        <v>14248</v>
      </c>
      <c r="H78" s="2">
        <v>2670548</v>
      </c>
      <c r="I78" s="4">
        <v>19644569.2837102</v>
      </c>
      <c r="J78" s="2" t="b">
        <f>Table1[[#This Row],[Total Sales]]&gt;15000000</f>
        <v>1</v>
      </c>
    </row>
    <row r="79" spans="1:10" x14ac:dyDescent="0.3">
      <c r="A79" s="3" t="s">
        <v>11</v>
      </c>
      <c r="B79" s="1" t="s">
        <v>18</v>
      </c>
      <c r="C79" s="1" t="s">
        <v>20</v>
      </c>
      <c r="D79" s="2">
        <v>20777001</v>
      </c>
      <c r="E79" s="2">
        <v>479827</v>
      </c>
      <c r="F79" s="2">
        <v>2843872.56</v>
      </c>
      <c r="G79" s="2">
        <v>33751</v>
      </c>
      <c r="H79" s="2">
        <v>6855119</v>
      </c>
      <c r="I79" s="4">
        <v>82261427.999999985</v>
      </c>
      <c r="J79" s="2" t="b">
        <f>Table1[[#This Row],[Total Sales]]&gt;15000000</f>
        <v>1</v>
      </c>
    </row>
    <row r="80" spans="1:10" x14ac:dyDescent="0.3">
      <c r="A80" s="3" t="s">
        <v>11</v>
      </c>
      <c r="B80" s="1" t="s">
        <v>21</v>
      </c>
      <c r="C80" s="1" t="s">
        <v>22</v>
      </c>
      <c r="D80" s="2">
        <v>1989601</v>
      </c>
      <c r="E80" s="2">
        <v>50353</v>
      </c>
      <c r="F80" s="2">
        <v>350360</v>
      </c>
      <c r="G80" s="2">
        <v>4550</v>
      </c>
      <c r="H80" s="2">
        <v>967878</v>
      </c>
      <c r="I80" s="4">
        <v>15486048.000000002</v>
      </c>
      <c r="J80" s="2" t="b">
        <f>Table1[[#This Row],[Total Sales]]&gt;15000000</f>
        <v>1</v>
      </c>
    </row>
    <row r="81" spans="1:10" x14ac:dyDescent="0.3">
      <c r="A81" s="3" t="s">
        <v>11</v>
      </c>
      <c r="B81" s="1" t="s">
        <v>21</v>
      </c>
      <c r="C81" s="1" t="s">
        <v>22</v>
      </c>
      <c r="D81" s="2">
        <v>2077515</v>
      </c>
      <c r="E81" s="2">
        <v>51688</v>
      </c>
      <c r="F81" s="2">
        <v>350433.28000000003</v>
      </c>
      <c r="G81" s="2">
        <v>4655</v>
      </c>
      <c r="H81" s="2">
        <v>981343</v>
      </c>
      <c r="I81" s="4">
        <v>8108039.9513312178</v>
      </c>
      <c r="J81" s="2" t="b">
        <f>Table1[[#This Row],[Total Sales]]&gt;15000000</f>
        <v>0</v>
      </c>
    </row>
    <row r="82" spans="1:10" x14ac:dyDescent="0.3">
      <c r="A82" s="3" t="s">
        <v>11</v>
      </c>
      <c r="B82" s="1" t="s">
        <v>21</v>
      </c>
      <c r="C82" s="1" t="s">
        <v>22</v>
      </c>
      <c r="D82" s="2">
        <v>2393609</v>
      </c>
      <c r="E82" s="2">
        <v>55602</v>
      </c>
      <c r="F82" s="2">
        <v>475237.4</v>
      </c>
      <c r="G82" s="2">
        <v>5071</v>
      </c>
      <c r="H82" s="2">
        <v>1040244</v>
      </c>
      <c r="I82" s="4">
        <v>10402440</v>
      </c>
      <c r="J82" s="2" t="b">
        <f>Table1[[#This Row],[Total Sales]]&gt;15000000</f>
        <v>0</v>
      </c>
    </row>
    <row r="83" spans="1:10" x14ac:dyDescent="0.3">
      <c r="A83" s="3" t="s">
        <v>11</v>
      </c>
      <c r="B83" s="1" t="s">
        <v>24</v>
      </c>
      <c r="C83" s="1" t="s">
        <v>25</v>
      </c>
      <c r="D83" s="2">
        <v>1101487</v>
      </c>
      <c r="E83" s="2">
        <v>30632</v>
      </c>
      <c r="F83" s="2">
        <v>187216.18</v>
      </c>
      <c r="G83" s="2">
        <v>1850</v>
      </c>
      <c r="H83" s="2">
        <v>398337</v>
      </c>
      <c r="I83" s="4">
        <v>3186696</v>
      </c>
      <c r="J83" s="2" t="b">
        <f>Table1[[#This Row],[Total Sales]]&gt;15000000</f>
        <v>0</v>
      </c>
    </row>
    <row r="84" spans="1:10" x14ac:dyDescent="0.3">
      <c r="A84" s="3" t="s">
        <v>11</v>
      </c>
      <c r="B84" s="1" t="s">
        <v>24</v>
      </c>
      <c r="C84" s="1" t="s">
        <v>25</v>
      </c>
      <c r="D84" s="2">
        <v>1261614</v>
      </c>
      <c r="E84" s="2">
        <v>28819</v>
      </c>
      <c r="F84" s="2">
        <v>207387.2</v>
      </c>
      <c r="G84" s="2">
        <v>1334</v>
      </c>
      <c r="H84" s="2">
        <v>272357</v>
      </c>
      <c r="I84" s="4">
        <v>4357712</v>
      </c>
      <c r="J84" s="2" t="b">
        <f>Table1[[#This Row],[Total Sales]]&gt;15000000</f>
        <v>0</v>
      </c>
    </row>
    <row r="85" spans="1:10" x14ac:dyDescent="0.3">
      <c r="A85" s="3" t="s">
        <v>11</v>
      </c>
      <c r="B85" s="1" t="s">
        <v>24</v>
      </c>
      <c r="C85" s="1" t="s">
        <v>25</v>
      </c>
      <c r="D85" s="2">
        <v>1493650</v>
      </c>
      <c r="E85" s="2">
        <v>37514</v>
      </c>
      <c r="F85" s="2">
        <v>315143.64</v>
      </c>
      <c r="G85" s="2">
        <v>1692</v>
      </c>
      <c r="H85" s="2">
        <v>366787</v>
      </c>
      <c r="I85" s="4">
        <v>2934296</v>
      </c>
      <c r="J85" s="2" t="b">
        <f>Table1[[#This Row],[Total Sales]]&gt;15000000</f>
        <v>0</v>
      </c>
    </row>
    <row r="86" spans="1:10" x14ac:dyDescent="0.3">
      <c r="A86" s="3" t="s">
        <v>11</v>
      </c>
      <c r="B86" s="1" t="s">
        <v>18</v>
      </c>
      <c r="C86" s="1" t="s">
        <v>19</v>
      </c>
      <c r="D86" s="2">
        <v>1424552</v>
      </c>
      <c r="E86" s="2">
        <v>45917</v>
      </c>
      <c r="F86" s="2">
        <v>300152.83</v>
      </c>
      <c r="G86" s="2">
        <v>5464</v>
      </c>
      <c r="H86" s="2">
        <v>2099675</v>
      </c>
      <c r="I86" s="4">
        <v>33594800</v>
      </c>
      <c r="J86" s="2" t="b">
        <f>Table1[[#This Row],[Total Sales]]&gt;15000000</f>
        <v>1</v>
      </c>
    </row>
    <row r="87" spans="1:10" x14ac:dyDescent="0.3">
      <c r="A87" s="3" t="s">
        <v>11</v>
      </c>
      <c r="B87" s="1" t="s">
        <v>18</v>
      </c>
      <c r="C87" s="1" t="s">
        <v>19</v>
      </c>
      <c r="D87" s="2">
        <v>1476820</v>
      </c>
      <c r="E87" s="2">
        <v>36509</v>
      </c>
      <c r="F87" s="2">
        <v>305199.46000000002</v>
      </c>
      <c r="G87" s="2">
        <v>2264</v>
      </c>
      <c r="H87" s="2">
        <v>910788</v>
      </c>
      <c r="I87" s="4">
        <v>11331779.223722111</v>
      </c>
      <c r="J87" s="2" t="b">
        <f>Table1[[#This Row],[Total Sales]]&gt;15000000</f>
        <v>0</v>
      </c>
    </row>
    <row r="88" spans="1:10" x14ac:dyDescent="0.3">
      <c r="A88" s="3" t="s">
        <v>11</v>
      </c>
      <c r="B88" s="1" t="s">
        <v>18</v>
      </c>
      <c r="C88" s="1" t="s">
        <v>19</v>
      </c>
      <c r="D88" s="2">
        <v>2129149</v>
      </c>
      <c r="E88" s="2">
        <v>51360</v>
      </c>
      <c r="F88" s="2">
        <v>444915.27</v>
      </c>
      <c r="G88" s="2">
        <v>3286</v>
      </c>
      <c r="H88" s="2">
        <v>1284153</v>
      </c>
      <c r="I88" s="4">
        <v>16693989.000000002</v>
      </c>
      <c r="J88" s="2" t="b">
        <f>Table1[[#This Row],[Total Sales]]&gt;15000000</f>
        <v>1</v>
      </c>
    </row>
    <row r="89" spans="1:10" x14ac:dyDescent="0.3">
      <c r="A89" s="3" t="s">
        <v>11</v>
      </c>
      <c r="B89" s="1" t="s">
        <v>24</v>
      </c>
      <c r="C89" s="1" t="s">
        <v>26</v>
      </c>
      <c r="D89" s="2">
        <v>1025426</v>
      </c>
      <c r="E89" s="2">
        <v>31830</v>
      </c>
      <c r="F89" s="2">
        <v>287990.87</v>
      </c>
      <c r="G89" s="2">
        <v>8279</v>
      </c>
      <c r="H89" s="2">
        <v>2077386</v>
      </c>
      <c r="I89" s="4">
        <v>24928631.999999996</v>
      </c>
      <c r="J89" s="2" t="b">
        <f>Table1[[#This Row],[Total Sales]]&gt;15000000</f>
        <v>1</v>
      </c>
    </row>
    <row r="90" spans="1:10" x14ac:dyDescent="0.3">
      <c r="A90" s="3" t="s">
        <v>11</v>
      </c>
      <c r="B90" s="1" t="s">
        <v>24</v>
      </c>
      <c r="C90" s="1" t="s">
        <v>26</v>
      </c>
      <c r="D90" s="2">
        <v>1343365</v>
      </c>
      <c r="E90" s="2">
        <v>25053</v>
      </c>
      <c r="F90" s="2">
        <v>228157.86</v>
      </c>
      <c r="G90" s="2">
        <v>3056</v>
      </c>
      <c r="H90" s="2">
        <v>759678</v>
      </c>
      <c r="I90" s="4">
        <v>9116136</v>
      </c>
      <c r="J90" s="2" t="b">
        <f>Table1[[#This Row],[Total Sales]]&gt;15000000</f>
        <v>0</v>
      </c>
    </row>
    <row r="91" spans="1:10" x14ac:dyDescent="0.3">
      <c r="A91" s="3" t="s">
        <v>11</v>
      </c>
      <c r="B91" s="1" t="s">
        <v>24</v>
      </c>
      <c r="C91" s="1" t="s">
        <v>26</v>
      </c>
      <c r="D91" s="2">
        <v>1234202</v>
      </c>
      <c r="E91" s="2">
        <v>27881</v>
      </c>
      <c r="F91" s="2">
        <v>250268.96</v>
      </c>
      <c r="G91" s="2">
        <v>3518</v>
      </c>
      <c r="H91" s="2">
        <v>886532</v>
      </c>
      <c r="I91" s="4">
        <v>10638384</v>
      </c>
      <c r="J91" s="2" t="b">
        <f>Table1[[#This Row],[Total Sales]]&gt;15000000</f>
        <v>0</v>
      </c>
    </row>
    <row r="92" spans="1:10" x14ac:dyDescent="0.3">
      <c r="A92" s="9" t="s">
        <v>7</v>
      </c>
      <c r="B92" s="10" t="s">
        <v>24</v>
      </c>
      <c r="C92" s="10" t="s">
        <v>25</v>
      </c>
      <c r="D92" s="11">
        <v>4062525</v>
      </c>
      <c r="E92" s="11">
        <v>104753</v>
      </c>
      <c r="F92" s="11">
        <v>925021.25</v>
      </c>
      <c r="G92" s="11">
        <v>23799</v>
      </c>
      <c r="H92" s="11">
        <v>4656396</v>
      </c>
      <c r="I92" s="12">
        <v>34215327.727752917</v>
      </c>
      <c r="J92" s="11" t="b">
        <f>Table1[[#This Row],[Total Sales]]&gt;15000000</f>
        <v>1</v>
      </c>
    </row>
    <row r="93" spans="1:10" x14ac:dyDescent="0.3">
      <c r="A93" s="9" t="s">
        <v>27</v>
      </c>
      <c r="B93" s="10"/>
      <c r="C93" s="10"/>
      <c r="D93" s="13"/>
      <c r="E93" s="13"/>
      <c r="F93" s="13"/>
      <c r="G93" s="13"/>
      <c r="H93" s="13"/>
      <c r="I93" s="12">
        <f>SUBTOTAL(109,Table1[Total Sales])</f>
        <v>1828747751.1165514</v>
      </c>
      <c r="J93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Bhaumik</dc:creator>
  <cp:lastModifiedBy>Ankit Negi</cp:lastModifiedBy>
  <dcterms:created xsi:type="dcterms:W3CDTF">2022-07-26T06:38:14Z</dcterms:created>
  <dcterms:modified xsi:type="dcterms:W3CDTF">2025-01-18T18:33:48Z</dcterms:modified>
</cp:coreProperties>
</file>